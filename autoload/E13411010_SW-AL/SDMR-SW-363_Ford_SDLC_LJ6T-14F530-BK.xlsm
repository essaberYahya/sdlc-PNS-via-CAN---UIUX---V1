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fileSharing readOnlyRecommended="1"/>
  <workbookPr codeName="ThisWorkbook"/>
  <mc:AlternateContent xmlns:mc="http://schemas.openxmlformats.org/markup-compatibility/2006">
    <mc:Choice Requires="x15">
      <x15ac:absPath xmlns:x15ac="http://schemas.microsoft.com/office/spreadsheetml/2010/11/ac" url="C:\_SVN\SDLC\trunk\07_RELEASE\CX482-3\18-BK\05-Production_6919-Jul-2021\04-LearDeliverables\"/>
    </mc:Choice>
  </mc:AlternateContent>
  <xr:revisionPtr revIDLastSave="0" documentId="13_ncr:1_{D8EF0879-7F73-405D-A956-25790B939F9B}" xr6:coauthVersionLast="45" xr6:coauthVersionMax="45" xr10:uidLastSave="{00000000-0000-0000-0000-000000000000}"/>
  <bookViews>
    <workbookView xWindow="-120" yWindow="-120" windowWidth="29040" windowHeight="15840" activeTab="1" xr2:uid="{00000000-000D-0000-FFFF-FFFF00000000}"/>
  </bookViews>
  <sheets>
    <sheet name="Cover" sheetId="8" r:id="rId1"/>
    <sheet name="Table of Contents" sheetId="9" r:id="rId2"/>
    <sheet name="Data" sheetId="1" r:id="rId3"/>
    <sheet name="Relation modules-functionality" sheetId="2" r:id="rId4"/>
    <sheet name="Functionality memory totals" sheetId="3" r:id="rId5"/>
  </sheets>
  <definedNames>
    <definedName name="_16kBytes_FixedFlash1" localSheetId="4">'Functionality memory totals'!$C$7</definedName>
    <definedName name="_16kBytes_FixedFlash2" localSheetId="4">'Functionality memory totals'!#REF!</definedName>
    <definedName name="_2kBytes_EEPROM" localSheetId="4">'Functionality memory totals'!#REF!</definedName>
    <definedName name="_6x16k_PagedFlash" localSheetId="4">'Functionality memory totals'!$D$7</definedName>
    <definedName name="_8kBytes_RAM" localSheetId="4">'Functionality memory totals'!$B$7</definedName>
    <definedName name="_xlnm._FilterDatabase" localSheetId="3" hidden="1">'Relation modules-functionality'!$B$7:$B$192</definedName>
    <definedName name="Approval_Resp">Cover!$C$6</definedName>
    <definedName name="Doc_Reference">Cover!$C$4</definedName>
    <definedName name="Doc_Title">Cover!$C$7</definedName>
    <definedName name="_xlnm.Print_Area" localSheetId="0">Cover!$A$1:$E$45</definedName>
    <definedName name="_xlnm.Print_Area" localSheetId="2">Data!$A$1:$G$197</definedName>
    <definedName name="_xlnm.Print_Area" localSheetId="4">'Functionality memory totals'!$A$1:$N$15</definedName>
    <definedName name="_xlnm.Print_Area" localSheetId="3">'Relation modules-functionality'!$A$1:$B$33</definedName>
    <definedName name="_xlnm.Print_Area" localSheetId="1">'Table of Contents'!$A$1:$E$33</definedName>
    <definedName name="_xlnm.Print_Titles" localSheetId="2">Data!$11:$11</definedName>
    <definedName name="Project_Name">Cover!$D$6</definedName>
    <definedName name="RAMtotal" localSheetId="4">'Functionality memory totals'!$F$7</definedName>
    <definedName name="ROMtotal" localSheetId="4">'Functionality memory totals'!$E$7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 i="3" l="1"/>
  <c r="D13" i="3" s="1"/>
  <c r="C11" i="3"/>
  <c r="B11" i="3"/>
  <c r="C12" i="3"/>
  <c r="N21" i="3" s="1"/>
  <c r="B12" i="3"/>
  <c r="L19" i="3" s="1"/>
  <c r="N19" i="3" l="1"/>
  <c r="L20" i="3"/>
  <c r="N20" i="3"/>
  <c r="B13" i="3"/>
  <c r="L22" i="3" s="1"/>
  <c r="C13" i="3"/>
  <c r="N22" i="3" s="1"/>
  <c r="F354" i="1"/>
  <c r="F196" i="1" l="1"/>
  <c r="D196" i="1"/>
  <c r="D354" i="1" s="1"/>
  <c r="C196" i="1"/>
  <c r="G196" i="1" l="1"/>
  <c r="C354" i="1"/>
  <c r="G354" i="1" s="1"/>
  <c r="B6" i="1"/>
  <c r="B3" i="1"/>
  <c r="D5" i="1"/>
  <c r="B5" i="1"/>
  <c r="D5" i="3"/>
  <c r="B6" i="3"/>
  <c r="B3" i="3"/>
  <c r="B5" i="3"/>
  <c r="B6" i="2"/>
  <c r="A5" i="2"/>
  <c r="B5" i="2"/>
  <c r="B3" i="2"/>
  <c r="C4" i="9"/>
  <c r="D6" i="9"/>
  <c r="C6" i="9"/>
  <c r="C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MBiarge</author>
  </authors>
  <commentList>
    <comment ref="D7" authorId="0" shapeId="0" xr:uid="{00000000-0006-0000-0300-000001000000}">
      <text>
        <r>
          <rPr>
            <b/>
            <sz val="10"/>
            <color indexed="34"/>
            <rFont val="Tahoma"/>
            <family val="2"/>
          </rPr>
          <t>LEAR:
Use this column to store the functionalities names in order to assign to each module. This is only an aid to avoid misspelling when writting functionalities names.</t>
        </r>
        <r>
          <rPr>
            <sz val="10"/>
            <color indexed="34"/>
            <rFont val="Tahoma"/>
            <family val="2"/>
          </rPr>
          <t xml:space="preserve">
</t>
        </r>
      </text>
    </comment>
  </commentList>
</comments>
</file>

<file path=xl/sharedStrings.xml><?xml version="1.0" encoding="utf-8"?>
<sst xmlns="http://schemas.openxmlformats.org/spreadsheetml/2006/main" count="671" uniqueCount="263">
  <si>
    <t>Module</t>
  </si>
  <si>
    <t>reg</t>
  </si>
  <si>
    <t>ROMtotal</t>
  </si>
  <si>
    <t>RAMtotal</t>
  </si>
  <si>
    <t>Files</t>
  </si>
  <si>
    <t>Functionality associated</t>
  </si>
  <si>
    <t>Functionality List</t>
  </si>
  <si>
    <t>Microprocessor:</t>
  </si>
  <si>
    <t>9S12DG128</t>
  </si>
  <si>
    <t>REFERENCE:</t>
  </si>
  <si>
    <t>APPROVED BY:</t>
  </si>
  <si>
    <t>PROJECT:</t>
  </si>
  <si>
    <t>1. DOCUMENT HISTORY</t>
  </si>
  <si>
    <t>DOCUMENT HISTORY</t>
  </si>
  <si>
    <t>Version</t>
  </si>
  <si>
    <t>Comments</t>
  </si>
  <si>
    <t>Date (dd/mm/yy)</t>
  </si>
  <si>
    <t>Author</t>
  </si>
  <si>
    <t>Miguel Biarge</t>
  </si>
  <si>
    <t>Rules of Template use:</t>
  </si>
  <si>
    <t>+ When taking  to use it in a specific PROJECT:</t>
  </si>
  <si>
    <t>+ Change the title (Delete "Template")</t>
  </si>
  <si>
    <t>+ Change the project name</t>
  </si>
  <si>
    <t>+ Change the reference as the file name has to change to a project specific.</t>
  </si>
  <si>
    <t>+ Change the Authorized Audience if necessary (if document is for customer, subcontractor, etc...)</t>
  </si>
  <si>
    <t>+ If the History Log is not necessary for the project document, delete it.</t>
  </si>
  <si>
    <t>+ Include any other neccesary information specific of the project, like Software Version, etc…</t>
  </si>
  <si>
    <t>+ When modifying the TEMPLATE:</t>
  </si>
  <si>
    <t>+ The sheet "Table of contents" gives a brief description of the different sheets that are included in the book. This sheet is optional, depending on the specific document. If there is place for the Table of
contents in this cover sheet, place it here, to save one sheet.</t>
  </si>
  <si>
    <t>Table of Contents:</t>
  </si>
  <si>
    <t>Template Creation (Form SW984-363-01)</t>
  </si>
  <si>
    <t>21/10/03</t>
  </si>
  <si>
    <t>Data:</t>
  </si>
  <si>
    <t>List of program data in memory</t>
  </si>
  <si>
    <t>Relation modules-functionality</t>
  </si>
  <si>
    <t>Relation betweeen modules and functionalities</t>
  </si>
  <si>
    <t>Functionality memory Totals</t>
  </si>
  <si>
    <t>Memory occupancy by functionalities</t>
  </si>
  <si>
    <t>Lear SW Version:</t>
  </si>
  <si>
    <t>Customer SW  Version:</t>
  </si>
  <si>
    <t>TOTAL</t>
  </si>
  <si>
    <t>Func 1</t>
  </si>
  <si>
    <t>Func 2</t>
  </si>
  <si>
    <t>Func 3</t>
  </si>
  <si>
    <t>Size</t>
  </si>
  <si>
    <t>Spare</t>
  </si>
  <si>
    <t>Fuctionality Name
as reference</t>
  </si>
  <si>
    <t>XXXXXX</t>
  </si>
  <si>
    <t>X.Y.Z</t>
  </si>
  <si>
    <t>TITLE: Software Delivery Memory Report Template</t>
  </si>
  <si>
    <t>AUTHORIZED AUDIENCE:
DELIVERY</t>
  </si>
  <si>
    <t>Document Approved</t>
  </si>
  <si>
    <t>J.L. Vicente</t>
  </si>
  <si>
    <t>15/04/04</t>
  </si>
  <si>
    <t>Changed according to CR0010 in SW984-361-10-000-01.xls</t>
  </si>
  <si>
    <t>Adaptation for process harmonization</t>
  </si>
  <si>
    <t>Karsten Fuchs</t>
  </si>
  <si>
    <t>PROCESS-6825: Added names for RAM, ROM, EEPROM % used memory (in order to be able to extract this information automatically from SW984-142)</t>
  </si>
  <si>
    <t>Joan Gubianes</t>
  </si>
  <si>
    <t>SDMR-SW-363.xls</t>
  </si>
  <si>
    <t>Process CCB</t>
  </si>
  <si>
    <t>SSE Process</t>
  </si>
  <si>
    <t>LEAR PROPRIETARY AND CONFIDENTIAL - The information contained herein is the exclusive property of Lear Corporation. This data shall not be disseminated or republished without prior written consent of Lear Corporation</t>
  </si>
  <si>
    <t>[PROCESS-10836] Updated header fields according to the new LEAR organization</t>
  </si>
  <si>
    <t>Gabriel Figuerola</t>
  </si>
  <si>
    <t>[PROCESS-10836] Cover Sheet: Removal of "SW984-108-xx.doc" by "SW Documentation Guidelines" link</t>
  </si>
  <si>
    <t xml:space="preserve">+ The History Log is necessary to keep track of changes in the TEMPLATE, </t>
  </si>
  <si>
    <t xml:space="preserve">   so use it as indicated in:</t>
  </si>
  <si>
    <t xml:space="preserve">SW Documentation Guidelines </t>
  </si>
  <si>
    <t xml:space="preserve">+ keep the Version updated as indicated in: </t>
  </si>
  <si>
    <t>Com_PBcfg.o</t>
  </si>
  <si>
    <t>PduR_PBcfg.o</t>
  </si>
  <si>
    <t>mcalas.a</t>
  </si>
  <si>
    <t>CanIf_PBcfg.o</t>
  </si>
  <si>
    <t>Dem.o</t>
  </si>
  <si>
    <t>Com.o</t>
  </si>
  <si>
    <t>dgn_svc_nvm_filled.o</t>
  </si>
  <si>
    <t>BswM_Lcfg.o</t>
  </si>
  <si>
    <t>PduR.o</t>
  </si>
  <si>
    <t>Dcm.o</t>
  </si>
  <si>
    <t>Rte.o</t>
  </si>
  <si>
    <t>Dcm_Lcfg.o</t>
  </si>
  <si>
    <t>Can.o</t>
  </si>
  <si>
    <t>Can_PBcfg.o</t>
  </si>
  <si>
    <t>NvM.o</t>
  </si>
  <si>
    <t>ComM.o</t>
  </si>
  <si>
    <t>Fee.o</t>
  </si>
  <si>
    <t>CanTp_PBcfg.o</t>
  </si>
  <si>
    <t>NvM_Cfg.o</t>
  </si>
  <si>
    <t>libimpl.a</t>
  </si>
  <si>
    <t>Os_Task_Lcfg.o</t>
  </si>
  <si>
    <t>libi.a</t>
  </si>
  <si>
    <t>Os_Isr_Lcfg.o</t>
  </si>
  <si>
    <t>Os_Hal_Context_Lcfg.o</t>
  </si>
  <si>
    <t>Fee_Processing.o</t>
  </si>
  <si>
    <t>Os_Trap.o</t>
  </si>
  <si>
    <t>Os_Ioc.o</t>
  </si>
  <si>
    <t>CanTp.o</t>
  </si>
  <si>
    <t>Nm.o</t>
  </si>
  <si>
    <t>NmOsek.o</t>
  </si>
  <si>
    <t>Os_Task.o</t>
  </si>
  <si>
    <t>Os_Hal_Entry_Lcfg.o</t>
  </si>
  <si>
    <t>Os_Counter.o</t>
  </si>
  <si>
    <t>CanIf.o</t>
  </si>
  <si>
    <t>Os_Hook.o</t>
  </si>
  <si>
    <t>Os_Core.o</t>
  </si>
  <si>
    <t>Os_Hal_Core.o</t>
  </si>
  <si>
    <t>Os_Isr.o</t>
  </si>
  <si>
    <t>CanNm.o</t>
  </si>
  <si>
    <t>BswM.o</t>
  </si>
  <si>
    <t>NvM_Act.o</t>
  </si>
  <si>
    <t>SecMod.lib</t>
  </si>
  <si>
    <t>Os_Spinlock.o</t>
  </si>
  <si>
    <t>CanSM.o</t>
  </si>
  <si>
    <t>dgn_svc_22.o</t>
  </si>
  <si>
    <t>libimpfp.a</t>
  </si>
  <si>
    <t>Os_Error.o</t>
  </si>
  <si>
    <t>Fee_ChunkInfo.o</t>
  </si>
  <si>
    <t>Bootloader</t>
  </si>
  <si>
    <t>256kBytesRAM</t>
  </si>
  <si>
    <t>2048kBytesFixedFlash</t>
  </si>
  <si>
    <t>64kBytesEEPROM</t>
  </si>
  <si>
    <t>Os_Application.o</t>
  </si>
  <si>
    <t>WdgM.o</t>
  </si>
  <si>
    <t>Os_Scheduler.o</t>
  </si>
  <si>
    <t>mcalm.a</t>
  </si>
  <si>
    <t>EcuM.o</t>
  </si>
  <si>
    <t>NvM_JobProc.o</t>
  </si>
  <si>
    <t>Os_Event.o</t>
  </si>
  <si>
    <t>Os_ScheduleTable.o</t>
  </si>
  <si>
    <t>vstdlib.o</t>
  </si>
  <si>
    <t>CanTrcv_30_Tja1046.o</t>
  </si>
  <si>
    <t>Os_XSignal.o</t>
  </si>
  <si>
    <t>Os_Alarm.o</t>
  </si>
  <si>
    <t>jtl.a</t>
  </si>
  <si>
    <t>Os_Resource.o</t>
  </si>
  <si>
    <t>Fee_LookUpTable.o</t>
  </si>
  <si>
    <t>fccu.a</t>
  </si>
  <si>
    <t>ert.a</t>
  </si>
  <si>
    <t>Fee_Sector.o</t>
  </si>
  <si>
    <t>SwcSecAccessFord.o</t>
  </si>
  <si>
    <t>Os_PriorityQueue.o</t>
  </si>
  <si>
    <t>clm.a</t>
  </si>
  <si>
    <t>Os_Timer.o</t>
  </si>
  <si>
    <t>Os_ServiceFunction.o</t>
  </si>
  <si>
    <t>Csm.o</t>
  </si>
  <si>
    <t>Com_Lcfg.o</t>
  </si>
  <si>
    <t>Os_Thread.o</t>
  </si>
  <si>
    <t>adm.a</t>
  </si>
  <si>
    <t>NvM_Crc.o</t>
  </si>
  <si>
    <t>Fee_Partition.o</t>
  </si>
  <si>
    <t>sdlc.a</t>
  </si>
  <si>
    <t>Os_Stack.o</t>
  </si>
  <si>
    <t>Os_Interrupt.o</t>
  </si>
  <si>
    <t>Os_TimingProtection.o</t>
  </si>
  <si>
    <t>NvM_Queue.o</t>
  </si>
  <si>
    <t>PduR_Lcfg.o</t>
  </si>
  <si>
    <t>MemIf.o</t>
  </si>
  <si>
    <t>NvM_Qry.o</t>
  </si>
  <si>
    <t>Os_Hal_Context.o</t>
  </si>
  <si>
    <t>start_main_core2.o</t>
  </si>
  <si>
    <t>bswtasks.o</t>
  </si>
  <si>
    <t>Fee_Lcfg.o</t>
  </si>
  <si>
    <t>ComM_AllowLimitation.o</t>
  </si>
  <si>
    <t>CryFord.lib</t>
  </si>
  <si>
    <t>libchar.a</t>
  </si>
  <si>
    <t>Crc.o</t>
  </si>
  <si>
    <t>EcuM_Callout_Stubs.o</t>
  </si>
  <si>
    <t>SwcEntropy.o</t>
  </si>
  <si>
    <t>Os_Alarm_Lcfg.o</t>
  </si>
  <si>
    <t>BswM_Callout_Stubs.o</t>
  </si>
  <si>
    <t>ver.a</t>
  </si>
  <si>
    <t>WdgM_Checkpoint.o</t>
  </si>
  <si>
    <t>dgn_dtc.o</t>
  </si>
  <si>
    <t>eese.o</t>
  </si>
  <si>
    <t>SmartDLC_Control.o</t>
  </si>
  <si>
    <t>Nm_Cfg.o</t>
  </si>
  <si>
    <t>ComM_Lcfg.o</t>
  </si>
  <si>
    <t>Os_Barrier.o</t>
  </si>
  <si>
    <t>Dcm_Stubs.o</t>
  </si>
  <si>
    <t>mcalm_exception.o</t>
  </si>
  <si>
    <t>Os_Hal_Entry.o</t>
  </si>
  <si>
    <t>Dem_Lcfg.o</t>
  </si>
  <si>
    <t>Appl2.o</t>
  </si>
  <si>
    <t>IoHwAb.a</t>
  </si>
  <si>
    <t>NmAggregation.o</t>
  </si>
  <si>
    <t>Os_Core_Lcfg.o</t>
  </si>
  <si>
    <t>NmCallbacks.o</t>
  </si>
  <si>
    <t>iom.a</t>
  </si>
  <si>
    <t>Os_Application_Lcfg.o</t>
  </si>
  <si>
    <t>Cry_30_LibCv_Fips186.o</t>
  </si>
  <si>
    <t>ErrorNotification_Cbk.o</t>
  </si>
  <si>
    <t>Det.o</t>
  </si>
  <si>
    <t>fbi.a</t>
  </si>
  <si>
    <t>Os_Hook_Lcfg.o</t>
  </si>
  <si>
    <t>WdgIf.o</t>
  </si>
  <si>
    <t>WdgM_PBcfg.o</t>
  </si>
  <si>
    <t>Os_Hal_Interrupt_Lcfg.o</t>
  </si>
  <si>
    <t>Os_MemoryProtection.o</t>
  </si>
  <si>
    <t>DfaWrap.o</t>
  </si>
  <si>
    <t>Os_Scheduler_Lcfg.o</t>
  </si>
  <si>
    <t>CanNm_Cfg.o</t>
  </si>
  <si>
    <t>NmFilter.o</t>
  </si>
  <si>
    <t>Os_AccessCheck.o</t>
  </si>
  <si>
    <t>mtc.a</t>
  </si>
  <si>
    <t>Os_Stack_Lcfg.o</t>
  </si>
  <si>
    <t>Os_Hal_Core_Lcfg.o</t>
  </si>
  <si>
    <t>Os_Callout_Stubs.o</t>
  </si>
  <si>
    <t>isr.a</t>
  </si>
  <si>
    <t>Can_Irq.o</t>
  </si>
  <si>
    <t>OsekNm_LimpHome.o</t>
  </si>
  <si>
    <t>ctr.a</t>
  </si>
  <si>
    <t>CanIf_Lcfg.o</t>
  </si>
  <si>
    <t>mcalm_support.o</t>
  </si>
  <si>
    <t>NmOsek_Cfg.o</t>
  </si>
  <si>
    <t>Os_Peripheral.o</t>
  </si>
  <si>
    <t>Os_Counter_Lcfg.o</t>
  </si>
  <si>
    <t>CanTrcv_30_Tja1046_Cfg.o</t>
  </si>
  <si>
    <t>CanTrcv_30_Tja1046_Cfg_custom.o</t>
  </si>
  <si>
    <t>MemIf_Cfg.o</t>
  </si>
  <si>
    <t>Security.o</t>
  </si>
  <si>
    <t>Dem_Wrapper.o</t>
  </si>
  <si>
    <t>Csm_Cfg.o</t>
  </si>
  <si>
    <t>Det_ErrorHookCallout.o</t>
  </si>
  <si>
    <t>crt0.o</t>
  </si>
  <si>
    <t>UserCallouts.o</t>
  </si>
  <si>
    <t>Os_Hal_Kernel_Lcfg.o</t>
  </si>
  <si>
    <t>ExtAppl_CanIdFilter.o</t>
  </si>
  <si>
    <t>CanSM_Lcfg.o</t>
  </si>
  <si>
    <t>Os_Resource_Lcfg.o</t>
  </si>
  <si>
    <t>Os_Hal_Timer_Lcfg.o</t>
  </si>
  <si>
    <t>Os_Hal_MemoryProtection.o</t>
  </si>
  <si>
    <t>Os_Barrier_Lcfg.o</t>
  </si>
  <si>
    <t>boot_header.o</t>
  </si>
  <si>
    <t>EcuM_Init_PBcfg.o</t>
  </si>
  <si>
    <t>main.a</t>
  </si>
  <si>
    <t>EcuM_Cfg.o</t>
  </si>
  <si>
    <t>WdgIf_Lcfg.o</t>
  </si>
  <si>
    <t>EcuM_PBcfg.o</t>
  </si>
  <si>
    <t>Os_Error_Lcfg.o</t>
  </si>
  <si>
    <t>libc.a</t>
  </si>
  <si>
    <t>Cry_30_LibCv.o</t>
  </si>
  <si>
    <t>Os_ServiceFunction_Lcfg.o</t>
  </si>
  <si>
    <t>CryFord_Cfg.o</t>
  </si>
  <si>
    <t>dummies.o</t>
  </si>
  <si>
    <t>Os_AccessCheck_Lcfg.o</t>
  </si>
  <si>
    <t>Det_Cfg.o</t>
  </si>
  <si>
    <t>Os_Peripheral_Lcfg.o</t>
  </si>
  <si>
    <t>Os_ScheduleTable_Lcfg.o</t>
  </si>
  <si>
    <t>Os_Spinlock_Lcfg.o</t>
  </si>
  <si>
    <t>Os_XSignal_Lcfg.o</t>
  </si>
  <si>
    <t>Cry_30_LibCv_Cfg.o</t>
  </si>
  <si>
    <t>sgnm.a</t>
  </si>
  <si>
    <t>SDLC_GW_ApplicationType.o</t>
  </si>
  <si>
    <t>Can_Lcfg.o</t>
  </si>
  <si>
    <t>dfa.a</t>
  </si>
  <si>
    <t>Func 4</t>
  </si>
  <si>
    <t>Unknown.o</t>
  </si>
  <si>
    <t>Router</t>
  </si>
  <si>
    <t>AutoSAR</t>
  </si>
  <si>
    <t>FBL</t>
  </si>
  <si>
    <t>Avaliable</t>
  </si>
  <si>
    <t>PROJECT: SDLC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</si>
</sst>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9" x14ac:knownFonts="1">
    <font>
      <sz val="10"/>
      <name val="Arial"/>
    </font>
    <font>
      <b/>
      <sz val="10"/>
      <name val="Arial"/>
      <family val="2"/>
    </font>
    <font>
      <sz val="10"/>
      <name val="Arial"/>
      <family val="2"/>
    </font>
    <font>
      <sz val="14"/>
      <color indexed="52"/>
      <name val="Arial"/>
      <family val="2"/>
    </font>
    <font>
      <b/>
      <sz val="14"/>
      <color indexed="9"/>
      <name val="Arial"/>
      <family val="2"/>
    </font>
    <font>
      <sz val="14"/>
      <color indexed="9"/>
      <name val="Arial"/>
      <family val="2"/>
    </font>
    <font>
      <b/>
      <sz val="12"/>
      <color indexed="9"/>
      <name val="Arial"/>
      <family val="2"/>
    </font>
    <font>
      <b/>
      <sz val="12"/>
      <name val="Arial"/>
      <family val="2"/>
    </font>
    <font>
      <u/>
      <sz val="10"/>
      <color indexed="12"/>
      <name val="Arial"/>
      <family val="2"/>
    </font>
    <font>
      <sz val="10"/>
      <color indexed="9"/>
      <name val="Arial"/>
      <family val="2"/>
    </font>
    <font>
      <b/>
      <sz val="14"/>
      <name val="Arial"/>
      <family val="2"/>
    </font>
    <font>
      <sz val="8"/>
      <name val="Arial"/>
      <family val="2"/>
    </font>
    <font>
      <sz val="18"/>
      <name val="Arial"/>
      <family val="2"/>
    </font>
    <font>
      <u/>
      <sz val="12"/>
      <color indexed="12"/>
      <name val="Arial"/>
      <family val="2"/>
    </font>
    <font>
      <i/>
      <sz val="10"/>
      <name val="Arial"/>
      <family val="2"/>
    </font>
    <font>
      <b/>
      <sz val="18"/>
      <color indexed="9"/>
      <name val="Arial"/>
      <family val="2"/>
    </font>
    <font>
      <b/>
      <sz val="10"/>
      <color indexed="34"/>
      <name val="Tahoma"/>
      <family val="2"/>
    </font>
    <font>
      <sz val="10"/>
      <color indexed="34"/>
      <name val="Tahoma"/>
      <family val="2"/>
    </font>
    <font>
      <sz val="10"/>
      <color rgb="FF000000"/>
      <name val="Arial"/>
      <family val="2"/>
    </font>
  </fonts>
  <fills count="5">
    <fill>
      <patternFill patternType="none"/>
    </fill>
    <fill>
      <patternFill patternType="gray125"/>
    </fill>
    <fill>
      <patternFill patternType="solid">
        <fgColor indexed="22"/>
        <bgColor indexed="64"/>
      </patternFill>
    </fill>
    <fill>
      <patternFill patternType="solid">
        <fgColor indexed="23"/>
        <bgColor indexed="64"/>
      </patternFill>
    </fill>
    <fill>
      <patternFill patternType="solid">
        <fgColor indexed="9"/>
        <bgColor indexed="64"/>
      </patternFill>
    </fill>
  </fills>
  <borders count="35">
    <border>
      <left/>
      <right/>
      <top/>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134">
    <xf numFmtId="0" fontId="0" fillId="0" borderId="0" xfId="0"/>
    <xf numFmtId="0" fontId="7" fillId="0" borderId="0" xfId="0" applyFont="1"/>
    <xf numFmtId="0" fontId="3" fillId="0" borderId="0" xfId="0" applyFont="1" applyAlignment="1">
      <alignment vertical="top" wrapText="1"/>
    </xf>
    <xf numFmtId="0" fontId="2" fillId="0" borderId="0" xfId="0" applyFont="1" applyBorder="1" applyAlignment="1">
      <alignment vertical="top" wrapText="1"/>
    </xf>
    <xf numFmtId="0" fontId="2" fillId="0" borderId="0" xfId="0" applyFont="1" applyAlignment="1">
      <alignment vertical="top" wrapText="1"/>
    </xf>
    <xf numFmtId="0" fontId="2" fillId="0" borderId="0" xfId="0" applyFont="1" applyFill="1" applyBorder="1" applyAlignment="1">
      <alignment vertical="top" wrapText="1"/>
    </xf>
    <xf numFmtId="0" fontId="1" fillId="0" borderId="0" xfId="0" applyFont="1" applyFill="1" applyAlignment="1">
      <alignment vertical="top" wrapText="1"/>
    </xf>
    <xf numFmtId="0" fontId="1" fillId="0" borderId="0" xfId="0" applyFont="1" applyAlignment="1">
      <alignment vertical="top" wrapText="1"/>
    </xf>
    <xf numFmtId="0" fontId="0" fillId="0" borderId="0" xfId="0" applyAlignment="1">
      <alignment vertical="top" wrapText="1"/>
    </xf>
    <xf numFmtId="0" fontId="1" fillId="0" borderId="0" xfId="0" applyFont="1"/>
    <xf numFmtId="0" fontId="1" fillId="0" borderId="0" xfId="0" applyFont="1" applyFill="1" applyBorder="1" applyAlignment="1">
      <alignment vertical="top" wrapText="1"/>
    </xf>
    <xf numFmtId="0" fontId="9" fillId="0" borderId="0" xfId="0" applyFont="1" applyFill="1"/>
    <xf numFmtId="0" fontId="10" fillId="0" borderId="0" xfId="0" applyFont="1" applyFill="1" applyBorder="1"/>
    <xf numFmtId="0" fontId="0" fillId="0" borderId="0" xfId="0" applyFill="1" applyBorder="1"/>
    <xf numFmtId="0" fontId="9" fillId="0" borderId="0" xfId="0" applyFont="1" applyFill="1" applyBorder="1"/>
    <xf numFmtId="0" fontId="0" fillId="0" borderId="0" xfId="0" applyFill="1"/>
    <xf numFmtId="0" fontId="1" fillId="0" borderId="1" xfId="0" applyFont="1" applyFill="1" applyBorder="1" applyAlignment="1">
      <alignment vertical="center"/>
    </xf>
    <xf numFmtId="0" fontId="1" fillId="0" borderId="2" xfId="0" applyFont="1" applyFill="1" applyBorder="1" applyAlignment="1">
      <alignment vertical="center" wrapText="1"/>
    </xf>
    <xf numFmtId="0" fontId="1" fillId="0" borderId="3" xfId="0" applyFont="1" applyFill="1" applyBorder="1" applyAlignment="1">
      <alignment vertical="center"/>
    </xf>
    <xf numFmtId="0" fontId="0" fillId="0" borderId="4" xfId="0" applyFill="1" applyBorder="1" applyAlignment="1">
      <alignment vertical="center" wrapText="1"/>
    </xf>
    <xf numFmtId="0" fontId="1" fillId="0" borderId="5" xfId="0" applyFont="1" applyFill="1" applyBorder="1" applyAlignment="1">
      <alignment vertical="center" wrapText="1"/>
    </xf>
    <xf numFmtId="0" fontId="0" fillId="0" borderId="5" xfId="0" applyFill="1" applyBorder="1" applyAlignment="1">
      <alignment vertical="center" wrapText="1"/>
    </xf>
    <xf numFmtId="0" fontId="11" fillId="0" borderId="6" xfId="0" applyFont="1" applyFill="1" applyBorder="1" applyAlignment="1">
      <alignment vertical="center" wrapText="1"/>
    </xf>
    <xf numFmtId="0" fontId="0" fillId="0" borderId="0" xfId="0" applyFill="1" applyBorder="1" applyAlignment="1">
      <alignment horizontal="center"/>
    </xf>
    <xf numFmtId="0" fontId="0" fillId="0" borderId="7" xfId="0" applyFill="1" applyBorder="1" applyAlignment="1">
      <alignment horizontal="center"/>
    </xf>
    <xf numFmtId="0" fontId="0" fillId="0" borderId="8" xfId="0" applyFill="1" applyBorder="1" applyAlignment="1">
      <alignment horizontal="center"/>
    </xf>
    <xf numFmtId="14" fontId="0" fillId="0" borderId="8" xfId="0" applyNumberFormat="1" applyFill="1" applyBorder="1" applyAlignment="1">
      <alignment horizontal="center"/>
    </xf>
    <xf numFmtId="0" fontId="0" fillId="0" borderId="9" xfId="0" applyFill="1" applyBorder="1" applyAlignment="1">
      <alignment horizontal="center"/>
    </xf>
    <xf numFmtId="0" fontId="0" fillId="0" borderId="5" xfId="0" applyFill="1" applyBorder="1" applyAlignment="1">
      <alignment horizontal="center"/>
    </xf>
    <xf numFmtId="14" fontId="0" fillId="0" borderId="5" xfId="0" applyNumberFormat="1" applyFill="1" applyBorder="1" applyAlignment="1">
      <alignment horizontal="center"/>
    </xf>
    <xf numFmtId="0" fontId="0" fillId="0" borderId="10" xfId="0" applyFill="1" applyBorder="1" applyAlignment="1">
      <alignment horizontal="center"/>
    </xf>
    <xf numFmtId="0" fontId="0" fillId="0" borderId="11" xfId="0" applyFill="1" applyBorder="1"/>
    <xf numFmtId="0" fontId="0" fillId="0" borderId="12" xfId="0" applyFill="1" applyBorder="1"/>
    <xf numFmtId="49" fontId="0" fillId="0" borderId="0" xfId="0" applyNumberFormat="1" applyFill="1" applyBorder="1"/>
    <xf numFmtId="49" fontId="0" fillId="0" borderId="0" xfId="0" applyNumberFormat="1" applyFill="1"/>
    <xf numFmtId="49" fontId="10" fillId="0" borderId="0" xfId="0" applyNumberFormat="1" applyFont="1" applyFill="1" applyBorder="1" applyAlignment="1">
      <alignment horizontal="left"/>
    </xf>
    <xf numFmtId="49" fontId="7" fillId="0" borderId="0" xfId="0" applyNumberFormat="1" applyFont="1" applyFill="1" applyBorder="1"/>
    <xf numFmtId="0" fontId="10" fillId="0" borderId="0" xfId="0" applyFont="1"/>
    <xf numFmtId="0" fontId="13" fillId="0" borderId="0" xfId="1" applyFont="1" applyAlignment="1" applyProtection="1"/>
    <xf numFmtId="0" fontId="14" fillId="0" borderId="0" xfId="0" applyFont="1"/>
    <xf numFmtId="0" fontId="1" fillId="0" borderId="0" xfId="0" applyFont="1" applyAlignment="1">
      <alignment horizontal="right"/>
    </xf>
    <xf numFmtId="0" fontId="1" fillId="0" borderId="0" xfId="0" applyFont="1" applyAlignment="1" applyProtection="1">
      <alignment horizontal="right"/>
      <protection locked="0" hidden="1"/>
    </xf>
    <xf numFmtId="0" fontId="0" fillId="0" borderId="0" xfId="0" applyProtection="1">
      <protection locked="0" hidden="1"/>
    </xf>
    <xf numFmtId="0" fontId="12" fillId="0" borderId="12" xfId="0" applyFont="1" applyFill="1" applyBorder="1" applyAlignment="1">
      <alignment vertical="center" wrapText="1"/>
    </xf>
    <xf numFmtId="0" fontId="1" fillId="0" borderId="10" xfId="0" applyFont="1" applyFill="1" applyBorder="1" applyAlignment="1">
      <alignment vertical="center" wrapText="1"/>
    </xf>
    <xf numFmtId="0" fontId="0" fillId="0" borderId="10" xfId="0" applyFill="1" applyBorder="1" applyAlignment="1">
      <alignment vertical="center" wrapText="1"/>
    </xf>
    <xf numFmtId="0" fontId="1" fillId="0" borderId="13" xfId="0" applyFont="1" applyFill="1" applyBorder="1" applyAlignment="1">
      <alignment vertical="center" wrapText="1"/>
    </xf>
    <xf numFmtId="0" fontId="0" fillId="0" borderId="13" xfId="0" applyFill="1" applyBorder="1" applyAlignment="1">
      <alignment vertical="center" wrapText="1"/>
    </xf>
    <xf numFmtId="0" fontId="0" fillId="2" borderId="0" xfId="0" applyFill="1" applyAlignment="1">
      <alignment vertical="top" wrapText="1"/>
    </xf>
    <xf numFmtId="0" fontId="5" fillId="3" borderId="0" xfId="0" applyFont="1" applyFill="1" applyAlignment="1">
      <alignment vertical="top" wrapText="1"/>
    </xf>
    <xf numFmtId="0" fontId="15" fillId="3" borderId="0" xfId="0" applyFont="1" applyFill="1" applyAlignment="1">
      <alignment horizontal="center" vertical="center" wrapText="1"/>
    </xf>
    <xf numFmtId="0" fontId="6" fillId="3" borderId="0" xfId="0" applyFont="1" applyFill="1"/>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15" xfId="0" applyFont="1" applyFill="1" applyBorder="1" applyAlignment="1">
      <alignment horizontal="center" vertical="center" wrapText="1"/>
    </xf>
    <xf numFmtId="0" fontId="1" fillId="2" borderId="16" xfId="0" applyFont="1" applyFill="1" applyBorder="1" applyAlignment="1">
      <alignment horizontal="center" vertical="center"/>
    </xf>
    <xf numFmtId="0" fontId="4" fillId="3" borderId="0" xfId="0" applyFont="1" applyFill="1" applyAlignment="1">
      <alignment horizontal="center" vertical="center" wrapText="1"/>
    </xf>
    <xf numFmtId="0" fontId="5" fillId="3" borderId="0" xfId="0" applyFont="1" applyFill="1" applyAlignment="1">
      <alignment horizontal="right" vertical="center" wrapText="1"/>
    </xf>
    <xf numFmtId="0" fontId="0" fillId="2" borderId="0" xfId="0" applyFill="1"/>
    <xf numFmtId="164" fontId="0" fillId="0" borderId="17" xfId="0" applyNumberFormat="1" applyFill="1" applyBorder="1" applyAlignment="1">
      <alignment horizontal="center"/>
    </xf>
    <xf numFmtId="164" fontId="0" fillId="0" borderId="18" xfId="0" applyNumberFormat="1" applyFill="1" applyBorder="1"/>
    <xf numFmtId="0" fontId="0" fillId="0" borderId="5" xfId="0" applyFill="1" applyBorder="1" applyAlignment="1">
      <alignment horizontal="center" wrapText="1"/>
    </xf>
    <xf numFmtId="14" fontId="0" fillId="0" borderId="5" xfId="0" applyNumberFormat="1" applyFill="1" applyBorder="1"/>
    <xf numFmtId="0" fontId="2" fillId="0" borderId="5" xfId="0" applyFont="1" applyFill="1" applyBorder="1" applyAlignment="1">
      <alignment horizontal="center" wrapText="1"/>
    </xf>
    <xf numFmtId="0" fontId="2" fillId="0" borderId="5" xfId="0" applyFont="1" applyFill="1" applyBorder="1" applyAlignment="1">
      <alignment vertical="center" wrapText="1"/>
    </xf>
    <xf numFmtId="0" fontId="2" fillId="0" borderId="5" xfId="0" applyFont="1" applyFill="1" applyBorder="1" applyAlignment="1">
      <alignment horizontal="left" vertical="top" wrapText="1"/>
    </xf>
    <xf numFmtId="14" fontId="0" fillId="0" borderId="5" xfId="0" applyNumberFormat="1" applyFill="1" applyBorder="1" applyAlignment="1">
      <alignment horizontal="center" vertical="center"/>
    </xf>
    <xf numFmtId="0" fontId="2" fillId="0" borderId="10" xfId="0" applyFont="1" applyFill="1" applyBorder="1" applyAlignment="1">
      <alignment horizontal="center" vertical="center" wrapText="1"/>
    </xf>
    <xf numFmtId="0" fontId="0" fillId="4" borderId="0" xfId="0" applyFill="1"/>
    <xf numFmtId="0" fontId="8" fillId="0" borderId="0" xfId="1" applyFill="1" applyAlignment="1" applyProtection="1">
      <alignment horizontal="left"/>
    </xf>
    <xf numFmtId="0" fontId="2" fillId="4" borderId="0" xfId="0" quotePrefix="1" applyFont="1" applyFill="1"/>
    <xf numFmtId="0" fontId="12" fillId="0" borderId="0" xfId="0" applyFont="1" applyFill="1" applyBorder="1" applyAlignment="1">
      <alignment horizontal="center" vertical="center" wrapText="1"/>
    </xf>
    <xf numFmtId="0" fontId="2" fillId="2" borderId="0" xfId="0" applyFont="1" applyFill="1"/>
    <xf numFmtId="1" fontId="0" fillId="0" borderId="0" xfId="0" applyNumberFormat="1" applyFill="1"/>
    <xf numFmtId="1" fontId="0" fillId="2" borderId="0" xfId="0" applyNumberFormat="1" applyFill="1"/>
    <xf numFmtId="0" fontId="2" fillId="0" borderId="0" xfId="0" applyFont="1" applyFill="1"/>
    <xf numFmtId="1" fontId="1" fillId="0" borderId="5" xfId="0" applyNumberFormat="1" applyFont="1" applyFill="1" applyBorder="1" applyAlignment="1">
      <alignment vertical="center" wrapText="1"/>
    </xf>
    <xf numFmtId="1" fontId="0" fillId="0" borderId="5" xfId="0" applyNumberFormat="1" applyFill="1" applyBorder="1" applyAlignment="1">
      <alignment vertical="center" wrapText="1"/>
    </xf>
    <xf numFmtId="1" fontId="0" fillId="0" borderId="0" xfId="0" applyNumberFormat="1"/>
    <xf numFmtId="1" fontId="6" fillId="3" borderId="0" xfId="0" applyNumberFormat="1" applyFont="1" applyFill="1"/>
    <xf numFmtId="0" fontId="11" fillId="0" borderId="0" xfId="0" applyFont="1" applyFill="1" applyBorder="1" applyAlignment="1">
      <alignment vertical="center" shrinkToFit="1"/>
    </xf>
    <xf numFmtId="0" fontId="1" fillId="0" borderId="0" xfId="0" applyFont="1" applyFill="1" applyBorder="1" applyAlignment="1">
      <alignment vertical="center" wrapText="1"/>
    </xf>
    <xf numFmtId="0" fontId="0" fillId="0" borderId="0" xfId="0" applyFill="1" applyBorder="1" applyAlignment="1">
      <alignment vertical="center" wrapText="1"/>
    </xf>
    <xf numFmtId="0" fontId="12" fillId="0" borderId="0" xfId="0" applyFont="1" applyFill="1" applyBorder="1" applyAlignment="1">
      <alignment vertical="center" wrapText="1"/>
    </xf>
    <xf numFmtId="165" fontId="0" fillId="0" borderId="0" xfId="0" applyNumberFormat="1" applyAlignment="1">
      <alignment vertical="top" wrapText="1"/>
    </xf>
    <xf numFmtId="10" fontId="0" fillId="0" borderId="0" xfId="0" applyNumberFormat="1" applyAlignment="1">
      <alignment vertical="top" wrapText="1"/>
    </xf>
    <xf numFmtId="0" fontId="11" fillId="0" borderId="0" xfId="0" applyFont="1" applyFill="1" applyBorder="1" applyAlignment="1">
      <alignment horizontal="center" vertical="center" shrinkToFi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2" borderId="0" xfId="0" applyFont="1" applyFill="1" applyAlignment="1">
      <alignment vertical="top" wrapText="1"/>
    </xf>
    <xf numFmtId="0" fontId="4" fillId="0" borderId="0" xfId="0" applyFont="1" applyFill="1" applyAlignment="1">
      <alignment horizontal="center" vertical="center" wrapText="1"/>
    </xf>
    <xf numFmtId="0" fontId="0" fillId="0" borderId="0" xfId="0" applyFill="1" applyAlignment="1">
      <alignment vertical="top" wrapText="1"/>
    </xf>
    <xf numFmtId="0" fontId="2" fillId="0" borderId="0" xfId="0" applyFont="1" applyFill="1" applyAlignment="1">
      <alignment vertical="top" wrapText="1"/>
    </xf>
    <xf numFmtId="0" fontId="0" fillId="0" borderId="0" xfId="0" applyNumberFormat="1" applyFill="1" applyBorder="1" applyAlignment="1">
      <alignment wrapText="1"/>
    </xf>
    <xf numFmtId="0" fontId="11" fillId="0" borderId="19" xfId="0" applyFont="1" applyFill="1" applyBorder="1" applyAlignment="1">
      <alignment vertical="center" shrinkToFit="1"/>
    </xf>
    <xf numFmtId="0" fontId="11" fillId="0" borderId="20" xfId="0" applyFont="1" applyFill="1" applyBorder="1" applyAlignment="1">
      <alignment vertical="center" shrinkToFit="1"/>
    </xf>
    <xf numFmtId="0" fontId="11" fillId="0" borderId="21" xfId="0" applyFont="1" applyFill="1" applyBorder="1" applyAlignment="1">
      <alignment vertical="center" shrinkToFit="1"/>
    </xf>
    <xf numFmtId="0" fontId="1" fillId="2" borderId="22" xfId="0" applyFont="1" applyFill="1" applyBorder="1" applyAlignment="1">
      <alignment horizontal="center"/>
    </xf>
    <xf numFmtId="0" fontId="0" fillId="2" borderId="23" xfId="0" applyFill="1" applyBorder="1" applyAlignment="1">
      <alignment horizontal="center"/>
    </xf>
    <xf numFmtId="0" fontId="0" fillId="2" borderId="24" xfId="0" applyFill="1" applyBorder="1" applyAlignment="1">
      <alignment horizontal="center"/>
    </xf>
    <xf numFmtId="0" fontId="12" fillId="0" borderId="25" xfId="0" applyFont="1" applyFill="1" applyBorder="1" applyAlignment="1">
      <alignment vertical="center" wrapText="1"/>
    </xf>
    <xf numFmtId="0" fontId="12" fillId="0" borderId="26" xfId="0" applyFont="1" applyFill="1" applyBorder="1" applyAlignment="1">
      <alignment vertical="center" wrapText="1"/>
    </xf>
    <xf numFmtId="0" fontId="12" fillId="0" borderId="27" xfId="0" applyFont="1" applyFill="1" applyBorder="1" applyAlignment="1">
      <alignment vertical="center" wrapText="1"/>
    </xf>
    <xf numFmtId="0" fontId="2" fillId="0" borderId="2" xfId="0" applyFont="1" applyFill="1" applyBorder="1" applyAlignment="1">
      <alignment vertical="center" wrapText="1"/>
    </xf>
    <xf numFmtId="0" fontId="0" fillId="0" borderId="4" xfId="0" applyFill="1" applyBorder="1" applyAlignment="1">
      <alignment vertical="center" wrapText="1"/>
    </xf>
    <xf numFmtId="0" fontId="1" fillId="0" borderId="2" xfId="0" applyFont="1" applyFill="1" applyBorder="1" applyAlignment="1">
      <alignment vertical="center" wrapText="1"/>
    </xf>
    <xf numFmtId="0" fontId="1" fillId="0" borderId="28" xfId="0" applyFont="1" applyFill="1" applyBorder="1" applyAlignment="1">
      <alignment vertical="center" wrapText="1"/>
    </xf>
    <xf numFmtId="0" fontId="1" fillId="0" borderId="4" xfId="0" applyFont="1" applyFill="1" applyBorder="1" applyAlignment="1">
      <alignment vertical="center" wrapText="1"/>
    </xf>
    <xf numFmtId="0" fontId="0" fillId="0" borderId="28" xfId="0" applyFill="1" applyBorder="1" applyAlignment="1">
      <alignment vertical="center" wrapText="1"/>
    </xf>
    <xf numFmtId="0" fontId="0" fillId="0" borderId="2" xfId="0" applyFill="1" applyBorder="1" applyAlignment="1">
      <alignment vertical="center" wrapText="1"/>
    </xf>
    <xf numFmtId="0" fontId="11" fillId="0" borderId="29" xfId="0" applyFont="1" applyFill="1" applyBorder="1" applyAlignment="1">
      <alignment vertical="center" shrinkToFit="1"/>
    </xf>
    <xf numFmtId="0" fontId="11" fillId="0" borderId="30" xfId="0" applyFont="1" applyFill="1" applyBorder="1" applyAlignment="1">
      <alignment vertical="center" shrinkToFit="1"/>
    </xf>
    <xf numFmtId="0" fontId="1" fillId="0" borderId="5" xfId="0" applyFont="1" applyFill="1" applyBorder="1" applyAlignment="1">
      <alignment vertical="center" wrapText="1"/>
    </xf>
    <xf numFmtId="0" fontId="0" fillId="0" borderId="5" xfId="0" applyFill="1" applyBorder="1" applyAlignment="1">
      <alignment vertical="center" wrapText="1"/>
    </xf>
    <xf numFmtId="0" fontId="12" fillId="0" borderId="31"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 fillId="0" borderId="31" xfId="0" applyFont="1" applyFill="1" applyBorder="1" applyAlignment="1">
      <alignment horizontal="left" vertical="center" wrapText="1"/>
    </xf>
    <xf numFmtId="0" fontId="1" fillId="0" borderId="0" xfId="0" applyFont="1" applyFill="1" applyBorder="1" applyAlignment="1">
      <alignment horizontal="left" vertical="center" wrapText="1"/>
    </xf>
    <xf numFmtId="0" fontId="0" fillId="0" borderId="31" xfId="0" applyFill="1" applyBorder="1" applyAlignment="1">
      <alignment horizontal="left" vertical="center" wrapText="1"/>
    </xf>
    <xf numFmtId="0" fontId="0" fillId="0" borderId="0" xfId="0" applyFill="1" applyBorder="1" applyAlignment="1">
      <alignment horizontal="left" vertical="center" wrapText="1"/>
    </xf>
    <xf numFmtId="0" fontId="11" fillId="0" borderId="19" xfId="0" applyFont="1" applyFill="1" applyBorder="1" applyAlignment="1">
      <alignment vertical="center" wrapText="1" shrinkToFit="1"/>
    </xf>
    <xf numFmtId="0" fontId="11" fillId="0" borderId="21" xfId="0" applyFont="1" applyFill="1" applyBorder="1" applyAlignment="1">
      <alignment vertical="center" wrapText="1" shrinkToFit="1"/>
    </xf>
    <xf numFmtId="0" fontId="12" fillId="0" borderId="25" xfId="0" applyFont="1" applyFill="1" applyBorder="1" applyAlignment="1">
      <alignment horizontal="center" vertical="center" wrapText="1"/>
    </xf>
    <xf numFmtId="0" fontId="12" fillId="0" borderId="26" xfId="0" applyFont="1" applyFill="1" applyBorder="1" applyAlignment="1">
      <alignment horizontal="center" vertical="center" wrapText="1"/>
    </xf>
    <xf numFmtId="0" fontId="12" fillId="0" borderId="34" xfId="0" applyFont="1" applyFill="1" applyBorder="1" applyAlignment="1">
      <alignment horizontal="center" vertical="center" wrapText="1"/>
    </xf>
    <xf numFmtId="0" fontId="11" fillId="0" borderId="19" xfId="0" applyFont="1" applyFill="1" applyBorder="1" applyAlignment="1">
      <alignment horizontal="center" vertical="center" shrinkToFit="1"/>
    </xf>
    <xf numFmtId="0" fontId="11" fillId="0" borderId="20" xfId="0" applyFont="1" applyFill="1" applyBorder="1" applyAlignment="1">
      <alignment horizontal="center" vertical="center" shrinkToFit="1"/>
    </xf>
    <xf numFmtId="0" fontId="11" fillId="0" borderId="32" xfId="0" applyFont="1" applyFill="1" applyBorder="1" applyAlignment="1">
      <alignment horizontal="center" vertical="center" shrinkToFit="1"/>
    </xf>
    <xf numFmtId="0" fontId="1" fillId="0" borderId="2"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33" xfId="0" applyFont="1" applyFill="1" applyBorder="1" applyAlignment="1">
      <alignment horizontal="center" vertical="center" wrapText="1"/>
    </xf>
    <xf numFmtId="0" fontId="0" fillId="0" borderId="2" xfId="0" applyFill="1" applyBorder="1" applyAlignment="1">
      <alignment horizontal="center" vertical="center" wrapText="1"/>
    </xf>
    <xf numFmtId="0" fontId="0" fillId="0" borderId="28" xfId="0" applyFill="1" applyBorder="1" applyAlignment="1">
      <alignment horizontal="center" vertical="center" wrapText="1"/>
    </xf>
    <xf numFmtId="0" fontId="0" fillId="0" borderId="33" xfId="0"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RAM</a:t>
            </a:r>
            <a:r>
              <a:rPr lang="en-US" baseline="0"/>
              <a:t> Usage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FE-424E-B1EA-247B08B818A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FE-424E-B1EA-247B08B818A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FE-424E-B1EA-247B08B818A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FE-424E-B1EA-247B08B818AB}"/>
              </c:ext>
            </c:extLst>
          </c:dPt>
          <c:cat>
            <c:strRef>
              <c:f>'Functionality memory totals'!$K$19:$K$22</c:f>
              <c:strCache>
                <c:ptCount val="4"/>
                <c:pt idx="0">
                  <c:v>AutoSAR</c:v>
                </c:pt>
                <c:pt idx="1">
                  <c:v>Router</c:v>
                </c:pt>
                <c:pt idx="2">
                  <c:v>FBL</c:v>
                </c:pt>
                <c:pt idx="3">
                  <c:v>Avaliable</c:v>
                </c:pt>
              </c:strCache>
            </c:strRef>
          </c:cat>
          <c:val>
            <c:numRef>
              <c:f>'Functionality memory totals'!$L$19:$L$22</c:f>
              <c:numCache>
                <c:formatCode>0.0%</c:formatCode>
                <c:ptCount val="4"/>
                <c:pt idx="0">
                  <c:v>0.3592529296875</c:v>
                </c:pt>
                <c:pt idx="1">
                  <c:v>0.56267166137695313</c:v>
                </c:pt>
                <c:pt idx="2">
                  <c:v>0</c:v>
                </c:pt>
                <c:pt idx="3">
                  <c:v>7.8075408935546875E-2</c:v>
                </c:pt>
              </c:numCache>
            </c:numRef>
          </c:val>
          <c:extLst>
            <c:ext xmlns:c16="http://schemas.microsoft.com/office/drawing/2014/chart" uri="{C3380CC4-5D6E-409C-BE32-E72D297353CC}">
              <c16:uniqueId val="{00000000-7F59-4BBE-9B3E-739F34E0246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4247996949988825"/>
          <c:y val="0.89409659348582882"/>
          <c:w val="0.70956826821152086"/>
          <c:h val="7.8125546806649168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ROM</a:t>
            </a:r>
            <a:r>
              <a:rPr lang="en-US" baseline="0"/>
              <a:t> Usage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19-48E3-BEA0-BF919C17C7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19-48E3-BEA0-BF919C17C7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19-48E3-BEA0-BF919C17C7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619-48E3-BEA0-BF919C17C7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619-48E3-BEA0-BF919C17C7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619-48E3-BEA0-BF919C17C7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619-48E3-BEA0-BF919C17C7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896-48DF-AB6C-24BF4F750A8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896-48DF-AB6C-24BF4F750A8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F-D619-48E3-BEA0-BF919C17C748}"/>
              </c:ext>
            </c:extLst>
          </c:dPt>
          <c:cat>
            <c:strRef>
              <c:f>'Functionality memory totals'!$M$19:$M$22</c:f>
              <c:strCache>
                <c:ptCount val="4"/>
                <c:pt idx="0">
                  <c:v>AutoSAR</c:v>
                </c:pt>
                <c:pt idx="1">
                  <c:v>Router</c:v>
                </c:pt>
                <c:pt idx="2">
                  <c:v>FBL</c:v>
                </c:pt>
                <c:pt idx="3">
                  <c:v>Avaliable</c:v>
                </c:pt>
              </c:strCache>
            </c:strRef>
          </c:cat>
          <c:val>
            <c:numRef>
              <c:f>'Functionality memory totals'!$N$19:$N$22</c:f>
              <c:numCache>
                <c:formatCode>0.0%</c:formatCode>
                <c:ptCount val="4"/>
                <c:pt idx="0">
                  <c:v>0.44910478591918945</c:v>
                </c:pt>
                <c:pt idx="1">
                  <c:v>9.5895767211914063E-2</c:v>
                </c:pt>
                <c:pt idx="2">
                  <c:v>5.773162841796875E-2</c:v>
                </c:pt>
                <c:pt idx="3">
                  <c:v>0.39726781845092773</c:v>
                </c:pt>
              </c:numCache>
            </c:numRef>
          </c:val>
          <c:extLst>
            <c:ext xmlns:c16="http://schemas.microsoft.com/office/drawing/2014/chart" uri="{C3380CC4-5D6E-409C-BE32-E72D297353CC}">
              <c16:uniqueId val="{00000010-D619-48E3-BEA0-BF919C17C74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8.8770676756119452E-2"/>
          <c:y val="0.90001594028823972"/>
          <c:w val="0.82718728764742533"/>
          <c:h val="8.1085263296740581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76200</xdr:rowOff>
    </xdr:to>
    <xdr:pic>
      <xdr:nvPicPr>
        <xdr:cNvPr id="3105" name="Picture 1">
          <a:extLst>
            <a:ext uri="{FF2B5EF4-FFF2-40B4-BE49-F238E27FC236}">
              <a16:creationId xmlns:a16="http://schemas.microsoft.com/office/drawing/2014/main" id="{00000000-0008-0000-0000-000021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314325"/>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106" name="Picture 3">
          <a:extLst>
            <a:ext uri="{FF2B5EF4-FFF2-40B4-BE49-F238E27FC236}">
              <a16:creationId xmlns:a16="http://schemas.microsoft.com/office/drawing/2014/main" id="{00000000-0008-0000-0000-000022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314325"/>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107" name="Picture 5">
          <a:extLst>
            <a:ext uri="{FF2B5EF4-FFF2-40B4-BE49-F238E27FC236}">
              <a16:creationId xmlns:a16="http://schemas.microsoft.com/office/drawing/2014/main" id="{00000000-0008-0000-0000-000023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314325"/>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108" name="Picture 7">
          <a:extLst>
            <a:ext uri="{FF2B5EF4-FFF2-40B4-BE49-F238E27FC236}">
              <a16:creationId xmlns:a16="http://schemas.microsoft.com/office/drawing/2014/main" id="{00000000-0008-0000-0000-000024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314325"/>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1352550</xdr:colOff>
          <xdr:row>3</xdr:row>
          <xdr:rowOff>200025</xdr:rowOff>
        </xdr:from>
        <xdr:to>
          <xdr:col>2</xdr:col>
          <xdr:colOff>1657350</xdr:colOff>
          <xdr:row>5</xdr:row>
          <xdr:rowOff>28575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142875</xdr:rowOff>
    </xdr:to>
    <xdr:pic>
      <xdr:nvPicPr>
        <xdr:cNvPr id="5141" name="Picture 14">
          <a:extLst>
            <a:ext uri="{FF2B5EF4-FFF2-40B4-BE49-F238E27FC236}">
              <a16:creationId xmlns:a16="http://schemas.microsoft.com/office/drawing/2014/main" id="{00000000-0008-0000-0100-000015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76225"/>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1</xdr:row>
      <xdr:rowOff>66675</xdr:rowOff>
    </xdr:from>
    <xdr:to>
      <xdr:col>0</xdr:col>
      <xdr:colOff>1562100</xdr:colOff>
      <xdr:row>3</xdr:row>
      <xdr:rowOff>142875</xdr:rowOff>
    </xdr:to>
    <xdr:pic>
      <xdr:nvPicPr>
        <xdr:cNvPr id="4107" name="Picture 3">
          <a:extLst>
            <a:ext uri="{FF2B5EF4-FFF2-40B4-BE49-F238E27FC236}">
              <a16:creationId xmlns:a16="http://schemas.microsoft.com/office/drawing/2014/main" id="{00000000-0008-0000-0200-00000B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228600"/>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333375</xdr:colOff>
          <xdr:row>7</xdr:row>
          <xdr:rowOff>28575</xdr:rowOff>
        </xdr:from>
        <xdr:to>
          <xdr:col>4</xdr:col>
          <xdr:colOff>0</xdr:colOff>
          <xdr:row>9</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Memory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1</xdr:row>
      <xdr:rowOff>66675</xdr:rowOff>
    </xdr:from>
    <xdr:to>
      <xdr:col>0</xdr:col>
      <xdr:colOff>1562100</xdr:colOff>
      <xdr:row>2</xdr:row>
      <xdr:rowOff>66675</xdr:rowOff>
    </xdr:to>
    <xdr:pic>
      <xdr:nvPicPr>
        <xdr:cNvPr id="1051" name="Picture 12">
          <a:extLst>
            <a:ext uri="{FF2B5EF4-FFF2-40B4-BE49-F238E27FC236}">
              <a16:creationId xmlns:a16="http://schemas.microsoft.com/office/drawing/2014/main" id="{00000000-0008-0000-0300-00001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342900"/>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1809750</xdr:colOff>
      <xdr:row>7</xdr:row>
      <xdr:rowOff>57150</xdr:rowOff>
    </xdr:from>
    <xdr:to>
      <xdr:col>3</xdr:col>
      <xdr:colOff>2057400</xdr:colOff>
      <xdr:row>9</xdr:row>
      <xdr:rowOff>85725</xdr:rowOff>
    </xdr:to>
    <xdr:sp macro="" textlink="">
      <xdr:nvSpPr>
        <xdr:cNvPr id="1052" name="Line 14">
          <a:extLst>
            <a:ext uri="{FF2B5EF4-FFF2-40B4-BE49-F238E27FC236}">
              <a16:creationId xmlns:a16="http://schemas.microsoft.com/office/drawing/2014/main" id="{00000000-0008-0000-0300-00001C040000}"/>
            </a:ext>
          </a:extLst>
        </xdr:cNvPr>
        <xdr:cNvSpPr>
          <a:spLocks noChangeShapeType="1"/>
        </xdr:cNvSpPr>
      </xdr:nvSpPr>
      <xdr:spPr bwMode="auto">
        <a:xfrm flipH="1">
          <a:off x="9172575" y="2562225"/>
          <a:ext cx="247650" cy="352425"/>
        </a:xfrm>
        <a:prstGeom prst="line">
          <a:avLst/>
        </a:prstGeom>
        <a:noFill/>
        <a:ln w="9525">
          <a:solidFill>
            <a:srgbClr val="000000"/>
          </a:solidFill>
          <a:round/>
          <a:headEnd/>
          <a:tailEnd type="triangle" w="med" len="me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absolute">
        <xdr:from>
          <xdr:col>1</xdr:col>
          <xdr:colOff>3705225</xdr:colOff>
          <xdr:row>6</xdr:row>
          <xdr:rowOff>257175</xdr:rowOff>
        </xdr:from>
        <xdr:to>
          <xdr:col>3</xdr:col>
          <xdr:colOff>581025</xdr:colOff>
          <xdr:row>6</xdr:row>
          <xdr:rowOff>542925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functionality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3705225</xdr:colOff>
          <xdr:row>5</xdr:row>
          <xdr:rowOff>552450</xdr:rowOff>
        </xdr:from>
        <xdr:to>
          <xdr:col>3</xdr:col>
          <xdr:colOff>571500</xdr:colOff>
          <xdr:row>6</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functionality totals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1</xdr:row>
      <xdr:rowOff>66675</xdr:rowOff>
    </xdr:from>
    <xdr:to>
      <xdr:col>0</xdr:col>
      <xdr:colOff>1562100</xdr:colOff>
      <xdr:row>3</xdr:row>
      <xdr:rowOff>142875</xdr:rowOff>
    </xdr:to>
    <xdr:pic>
      <xdr:nvPicPr>
        <xdr:cNvPr id="6152" name="Picture 1">
          <a:extLst>
            <a:ext uri="{FF2B5EF4-FFF2-40B4-BE49-F238E27FC236}">
              <a16:creationId xmlns:a16="http://schemas.microsoft.com/office/drawing/2014/main" id="{00000000-0008-0000-04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228600"/>
          <a:ext cx="14954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928686</xdr:colOff>
      <xdr:row>15</xdr:row>
      <xdr:rowOff>42861</xdr:rowOff>
    </xdr:from>
    <xdr:to>
      <xdr:col>2</xdr:col>
      <xdr:colOff>1514474</xdr:colOff>
      <xdr:row>41</xdr:row>
      <xdr:rowOff>123825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142876</xdr:colOff>
      <xdr:row>15</xdr:row>
      <xdr:rowOff>28575</xdr:rowOff>
    </xdr:from>
    <xdr:to>
      <xdr:col>5</xdr:col>
      <xdr:colOff>1047750</xdr:colOff>
      <xdr:row>41</xdr:row>
      <xdr:rowOff>109539</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eudca-con02:8090/display/ELECSWSPROCESS/SW+Documentation+Guidelines" TargetMode="External"/><Relationship Id="rId1" Type="http://schemas.openxmlformats.org/officeDocument/2006/relationships/hyperlink" Target="http://eudca-con02:8090/display/ELECSWSPROCESS/SW+Documentation+Guideline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pageSetUpPr fitToPage="1"/>
  </sheetPr>
  <dimension ref="B1:H94"/>
  <sheetViews>
    <sheetView showGridLines="0" topLeftCell="A22" zoomScaleNormal="87" zoomScaleSheetLayoutView="100" workbookViewId="0">
      <selection activeCell="C21" sqref="C21"/>
    </sheetView>
  </sheetViews>
  <sheetFormatPr defaultColWidth="11.42578125" defaultRowHeight="12.75" x14ac:dyDescent="0.2"/>
  <cols>
    <col min="1" max="1" width="2" style="15" customWidth="1"/>
    <col min="2" max="2" width="24.85546875" style="15" customWidth="1"/>
    <col min="3" max="3" width="37.28515625" style="15" customWidth="1"/>
    <col min="4" max="4" width="11.140625" style="15" customWidth="1"/>
    <col min="5" max="5" width="31.140625" style="15" customWidth="1"/>
    <col min="6" max="256" width="9.140625" style="15" customWidth="1"/>
    <col min="257" max="16384" width="11.42578125" style="15"/>
  </cols>
  <sheetData>
    <row r="1" spans="2:7" s="11" customFormat="1" ht="6.75" customHeight="1" thickBot="1" x14ac:dyDescent="0.3">
      <c r="B1" s="12"/>
      <c r="C1" s="13"/>
      <c r="D1" s="13"/>
      <c r="E1" s="13"/>
      <c r="F1" s="14"/>
      <c r="G1" s="14"/>
    </row>
    <row r="2" spans="2:7" s="11" customFormat="1" x14ac:dyDescent="0.2">
      <c r="B2" s="94" t="s">
        <v>62</v>
      </c>
      <c r="C2" s="95"/>
      <c r="D2" s="95"/>
      <c r="E2" s="96"/>
      <c r="F2" s="14"/>
      <c r="G2" s="14"/>
    </row>
    <row r="3" spans="2:7" x14ac:dyDescent="0.2">
      <c r="B3" s="16"/>
      <c r="C3" s="105" t="s">
        <v>9</v>
      </c>
      <c r="D3" s="106"/>
      <c r="E3" s="107"/>
      <c r="F3" s="13"/>
      <c r="G3" s="13"/>
    </row>
    <row r="4" spans="2:7" ht="18" customHeight="1" x14ac:dyDescent="0.2">
      <c r="B4" s="18"/>
      <c r="C4" s="103" t="s">
        <v>59</v>
      </c>
      <c r="D4" s="108"/>
      <c r="E4" s="104"/>
      <c r="F4" s="13"/>
      <c r="G4" s="13"/>
    </row>
    <row r="5" spans="2:7" x14ac:dyDescent="0.2">
      <c r="B5" s="18"/>
      <c r="C5" s="20" t="s">
        <v>10</v>
      </c>
      <c r="D5" s="17" t="s">
        <v>11</v>
      </c>
      <c r="E5" s="19"/>
      <c r="F5" s="13"/>
      <c r="G5" s="13"/>
    </row>
    <row r="6" spans="2:7" x14ac:dyDescent="0.2">
      <c r="B6" s="18"/>
      <c r="C6" s="64" t="s">
        <v>60</v>
      </c>
      <c r="D6" s="103" t="s">
        <v>61</v>
      </c>
      <c r="E6" s="104"/>
      <c r="F6" s="13"/>
      <c r="G6" s="13"/>
    </row>
    <row r="7" spans="2:7" ht="39" customHeight="1" thickBot="1" x14ac:dyDescent="0.25">
      <c r="B7" s="22" t="s">
        <v>50</v>
      </c>
      <c r="C7" s="100" t="s">
        <v>49</v>
      </c>
      <c r="D7" s="101"/>
      <c r="E7" s="102"/>
      <c r="F7" s="13"/>
      <c r="G7" s="13"/>
    </row>
    <row r="8" spans="2:7" x14ac:dyDescent="0.2">
      <c r="B8" s="13"/>
      <c r="C8" s="13"/>
      <c r="D8" s="13"/>
      <c r="E8" s="13"/>
      <c r="F8" s="13"/>
      <c r="G8" s="13"/>
    </row>
    <row r="9" spans="2:7" x14ac:dyDescent="0.2">
      <c r="B9" s="9" t="s">
        <v>38</v>
      </c>
      <c r="C9" t="s">
        <v>48</v>
      </c>
      <c r="D9" s="13"/>
      <c r="E9" s="13"/>
      <c r="F9" s="13"/>
      <c r="G9" s="13"/>
    </row>
    <row r="10" spans="2:7" x14ac:dyDescent="0.2">
      <c r="B10" s="9" t="s">
        <v>39</v>
      </c>
      <c r="C10" t="s">
        <v>47</v>
      </c>
      <c r="D10" s="13"/>
      <c r="E10" s="13"/>
      <c r="F10" s="13"/>
      <c r="G10" s="13"/>
    </row>
    <row r="11" spans="2:7" x14ac:dyDescent="0.2">
      <c r="B11" s="9" t="s">
        <v>7</v>
      </c>
      <c r="C11" t="s">
        <v>8</v>
      </c>
      <c r="D11" s="13"/>
      <c r="E11" s="13"/>
      <c r="F11" s="13"/>
      <c r="G11" s="13"/>
    </row>
    <row r="12" spans="2:7" ht="13.5" thickBot="1" x14ac:dyDescent="0.25">
      <c r="B12" s="14" t="s">
        <v>12</v>
      </c>
      <c r="C12" s="13"/>
      <c r="D12" s="13"/>
      <c r="E12" s="13"/>
      <c r="F12" s="13"/>
      <c r="G12" s="13"/>
    </row>
    <row r="13" spans="2:7" ht="13.5" thickBot="1" x14ac:dyDescent="0.25">
      <c r="B13" s="97" t="s">
        <v>13</v>
      </c>
      <c r="C13" s="98"/>
      <c r="D13" s="98"/>
      <c r="E13" s="99"/>
      <c r="F13" s="13"/>
      <c r="G13" s="13"/>
    </row>
    <row r="14" spans="2:7" ht="26.25" thickBot="1" x14ac:dyDescent="0.25">
      <c r="B14" s="52" t="s">
        <v>14</v>
      </c>
      <c r="C14" s="53" t="s">
        <v>15</v>
      </c>
      <c r="D14" s="54" t="s">
        <v>16</v>
      </c>
      <c r="E14" s="55" t="s">
        <v>17</v>
      </c>
      <c r="F14" s="23"/>
      <c r="G14" s="13"/>
    </row>
    <row r="15" spans="2:7" x14ac:dyDescent="0.2">
      <c r="B15" s="24">
        <v>0.2</v>
      </c>
      <c r="C15" s="25" t="s">
        <v>30</v>
      </c>
      <c r="D15" s="26" t="s">
        <v>31</v>
      </c>
      <c r="E15" s="27" t="s">
        <v>18</v>
      </c>
      <c r="F15" s="23"/>
      <c r="G15" s="13"/>
    </row>
    <row r="16" spans="2:7" x14ac:dyDescent="0.2">
      <c r="B16" s="59">
        <v>1</v>
      </c>
      <c r="C16" s="28" t="s">
        <v>51</v>
      </c>
      <c r="D16" s="29">
        <v>38049</v>
      </c>
      <c r="E16" s="30" t="s">
        <v>52</v>
      </c>
      <c r="F16" s="23"/>
      <c r="G16" s="13"/>
    </row>
    <row r="17" spans="2:8" ht="25.5" x14ac:dyDescent="0.2">
      <c r="B17" s="59">
        <v>1.1000000000000001</v>
      </c>
      <c r="C17" s="61" t="s">
        <v>54</v>
      </c>
      <c r="D17" s="28" t="s">
        <v>53</v>
      </c>
      <c r="E17" s="30" t="s">
        <v>18</v>
      </c>
      <c r="F17" s="23"/>
      <c r="G17" s="13"/>
    </row>
    <row r="18" spans="2:8" x14ac:dyDescent="0.2">
      <c r="B18" s="59">
        <v>1.2</v>
      </c>
      <c r="C18" s="28" t="s">
        <v>55</v>
      </c>
      <c r="D18" s="62">
        <v>38931</v>
      </c>
      <c r="E18" s="30" t="s">
        <v>56</v>
      </c>
      <c r="F18" s="13"/>
      <c r="G18" s="13"/>
    </row>
    <row r="19" spans="2:8" ht="51" x14ac:dyDescent="0.2">
      <c r="B19" s="59">
        <v>1.3</v>
      </c>
      <c r="C19" s="63" t="s">
        <v>57</v>
      </c>
      <c r="D19" s="29">
        <v>40582</v>
      </c>
      <c r="E19" s="30" t="s">
        <v>58</v>
      </c>
      <c r="F19" s="13"/>
      <c r="G19" s="13"/>
    </row>
    <row r="20" spans="2:8" ht="25.5" x14ac:dyDescent="0.2">
      <c r="B20" s="59">
        <v>1.4</v>
      </c>
      <c r="C20" s="63" t="s">
        <v>63</v>
      </c>
      <c r="D20" s="29">
        <v>42930</v>
      </c>
      <c r="E20" s="30" t="s">
        <v>64</v>
      </c>
      <c r="F20" s="13"/>
      <c r="G20" s="13"/>
    </row>
    <row r="21" spans="2:8" ht="38.25" x14ac:dyDescent="0.2">
      <c r="B21" s="59">
        <v>1.5</v>
      </c>
      <c r="C21" s="65" t="s">
        <v>65</v>
      </c>
      <c r="D21" s="66">
        <v>42964</v>
      </c>
      <c r="E21" s="67" t="s">
        <v>64</v>
      </c>
      <c r="F21" s="13"/>
      <c r="G21" s="13"/>
    </row>
    <row r="22" spans="2:8" ht="13.5" thickBot="1" x14ac:dyDescent="0.25">
      <c r="B22" s="60"/>
      <c r="C22" s="31"/>
      <c r="D22" s="31"/>
      <c r="E22" s="32"/>
      <c r="F22" s="13"/>
      <c r="G22" s="13"/>
    </row>
    <row r="23" spans="2:8" x14ac:dyDescent="0.2">
      <c r="B23" s="13"/>
      <c r="C23" s="13"/>
      <c r="D23" s="13"/>
      <c r="E23" s="13"/>
      <c r="F23" s="13"/>
      <c r="G23" s="13"/>
    </row>
    <row r="24" spans="2:8" x14ac:dyDescent="0.2">
      <c r="B24" s="13"/>
      <c r="C24" s="13"/>
      <c r="D24" s="13"/>
      <c r="E24" s="13"/>
      <c r="F24" s="13"/>
      <c r="G24" s="13"/>
    </row>
    <row r="25" spans="2:8" x14ac:dyDescent="0.2">
      <c r="B25" s="33"/>
      <c r="C25" s="33"/>
      <c r="D25" s="33"/>
      <c r="E25" s="33"/>
      <c r="F25" s="33"/>
      <c r="G25" s="33"/>
      <c r="H25" s="34"/>
    </row>
    <row r="26" spans="2:8" x14ac:dyDescent="0.2">
      <c r="B26" s="33"/>
      <c r="C26" s="33"/>
      <c r="D26" s="33"/>
      <c r="E26" s="33"/>
      <c r="F26" s="33"/>
      <c r="G26" s="33"/>
      <c r="H26" s="34"/>
    </row>
    <row r="27" spans="2:8" ht="18" x14ac:dyDescent="0.25">
      <c r="B27" s="35" t="s">
        <v>19</v>
      </c>
      <c r="C27" s="33"/>
      <c r="D27" s="33"/>
      <c r="E27" s="33"/>
      <c r="F27" s="33"/>
      <c r="G27" s="33"/>
      <c r="H27" s="34"/>
    </row>
    <row r="28" spans="2:8" ht="18" x14ac:dyDescent="0.25">
      <c r="B28" s="35"/>
      <c r="C28" s="33"/>
      <c r="D28" s="33"/>
      <c r="E28" s="33"/>
      <c r="F28" s="33"/>
      <c r="G28" s="33"/>
      <c r="H28" s="34"/>
    </row>
    <row r="29" spans="2:8" ht="15.75" x14ac:dyDescent="0.25">
      <c r="B29" s="36" t="s">
        <v>20</v>
      </c>
      <c r="C29" s="33"/>
      <c r="D29" s="33"/>
      <c r="E29" s="33"/>
      <c r="F29" s="33"/>
      <c r="G29" s="34"/>
    </row>
    <row r="30" spans="2:8" x14ac:dyDescent="0.2">
      <c r="B30" s="33"/>
      <c r="C30" s="33"/>
      <c r="D30" s="33"/>
      <c r="E30" s="33"/>
      <c r="F30" s="33"/>
      <c r="G30" s="34"/>
    </row>
    <row r="31" spans="2:8" x14ac:dyDescent="0.2">
      <c r="B31" s="33" t="s">
        <v>21</v>
      </c>
      <c r="D31" s="33"/>
      <c r="E31" s="33"/>
      <c r="F31" s="33"/>
      <c r="G31" s="34"/>
    </row>
    <row r="32" spans="2:8" x14ac:dyDescent="0.2">
      <c r="B32" s="33" t="s">
        <v>22</v>
      </c>
      <c r="D32" s="33"/>
      <c r="E32" s="33"/>
      <c r="F32" s="33"/>
      <c r="G32" s="34"/>
    </row>
    <row r="33" spans="2:8" x14ac:dyDescent="0.2">
      <c r="B33" s="33" t="s">
        <v>23</v>
      </c>
      <c r="D33" s="33"/>
      <c r="E33" s="33"/>
      <c r="F33" s="33"/>
      <c r="G33" s="34"/>
    </row>
    <row r="34" spans="2:8" x14ac:dyDescent="0.2">
      <c r="B34" s="33" t="s">
        <v>24</v>
      </c>
      <c r="D34" s="33"/>
      <c r="E34" s="33"/>
      <c r="F34" s="33"/>
      <c r="G34" s="34"/>
    </row>
    <row r="35" spans="2:8" x14ac:dyDescent="0.2">
      <c r="B35" s="33" t="s">
        <v>25</v>
      </c>
      <c r="D35" s="34"/>
      <c r="E35" s="34"/>
      <c r="F35" s="34"/>
      <c r="G35" s="34"/>
    </row>
    <row r="36" spans="2:8" x14ac:dyDescent="0.2">
      <c r="B36" s="33" t="s">
        <v>26</v>
      </c>
      <c r="D36" s="34"/>
      <c r="E36" s="34"/>
      <c r="F36" s="34"/>
      <c r="G36" s="34"/>
    </row>
    <row r="37" spans="2:8" ht="40.5" customHeight="1" x14ac:dyDescent="0.2">
      <c r="B37" s="93" t="s">
        <v>28</v>
      </c>
      <c r="C37" s="93"/>
      <c r="D37" s="93"/>
      <c r="E37" s="93"/>
      <c r="F37" s="34"/>
      <c r="G37" s="34"/>
    </row>
    <row r="38" spans="2:8" x14ac:dyDescent="0.2">
      <c r="B38" s="34"/>
      <c r="C38" s="34"/>
      <c r="D38" s="34"/>
      <c r="E38" s="34"/>
      <c r="F38" s="34"/>
      <c r="G38" s="34"/>
    </row>
    <row r="39" spans="2:8" ht="15.75" x14ac:dyDescent="0.25">
      <c r="B39" s="36" t="s">
        <v>27</v>
      </c>
      <c r="C39" s="34"/>
      <c r="D39" s="34"/>
      <c r="E39" s="34"/>
      <c r="F39" s="34"/>
      <c r="G39" s="34"/>
    </row>
    <row r="40" spans="2:8" x14ac:dyDescent="0.2">
      <c r="B40" s="34"/>
      <c r="C40" s="34"/>
      <c r="D40" s="34"/>
      <c r="E40" s="34"/>
      <c r="F40" s="34"/>
      <c r="G40" s="34"/>
    </row>
    <row r="41" spans="2:8" x14ac:dyDescent="0.2">
      <c r="B41" s="68" t="s">
        <v>66</v>
      </c>
      <c r="C41" s="68"/>
      <c r="D41" s="34"/>
      <c r="E41" s="34"/>
      <c r="F41" s="34"/>
      <c r="G41" s="34"/>
    </row>
    <row r="42" spans="2:8" x14ac:dyDescent="0.2">
      <c r="B42" s="68" t="s">
        <v>67</v>
      </c>
      <c r="C42" s="69" t="s">
        <v>68</v>
      </c>
      <c r="D42" s="34"/>
      <c r="E42" s="34"/>
      <c r="F42" s="34"/>
      <c r="G42" s="34"/>
    </row>
    <row r="43" spans="2:8" x14ac:dyDescent="0.2">
      <c r="B43" s="70" t="s">
        <v>69</v>
      </c>
      <c r="C43" s="68"/>
      <c r="D43" s="34"/>
      <c r="E43" s="34"/>
      <c r="F43" s="34"/>
      <c r="G43" s="34"/>
    </row>
    <row r="44" spans="2:8" x14ac:dyDescent="0.2">
      <c r="B44" s="68"/>
      <c r="C44" s="69" t="s">
        <v>68</v>
      </c>
      <c r="D44" s="34"/>
      <c r="E44" s="34"/>
      <c r="F44" s="34"/>
      <c r="G44" s="34"/>
    </row>
    <row r="45" spans="2:8" x14ac:dyDescent="0.2">
      <c r="B45" s="34"/>
      <c r="C45" s="33"/>
      <c r="D45" s="34"/>
      <c r="E45" s="34"/>
      <c r="F45" s="34"/>
      <c r="G45" s="34"/>
    </row>
    <row r="46" spans="2:8" x14ac:dyDescent="0.2">
      <c r="B46" s="34"/>
      <c r="C46" s="34"/>
      <c r="D46" s="34"/>
      <c r="E46" s="34"/>
      <c r="F46" s="34"/>
      <c r="G46" s="34"/>
    </row>
    <row r="47" spans="2:8" x14ac:dyDescent="0.2">
      <c r="B47" s="34"/>
    </row>
    <row r="48" spans="2:8" x14ac:dyDescent="0.2">
      <c r="B48" s="34"/>
      <c r="C48" s="34"/>
      <c r="D48" s="34"/>
      <c r="E48" s="34"/>
      <c r="F48" s="34"/>
      <c r="G48" s="34"/>
      <c r="H48" s="34"/>
    </row>
    <row r="49" spans="2:8" x14ac:dyDescent="0.2">
      <c r="B49" s="34"/>
      <c r="C49" s="34"/>
      <c r="D49" s="34"/>
      <c r="E49" s="34"/>
      <c r="F49" s="34"/>
      <c r="G49" s="34"/>
      <c r="H49" s="34"/>
    </row>
    <row r="50" spans="2:8" x14ac:dyDescent="0.2">
      <c r="B50" s="34"/>
      <c r="C50" s="34"/>
      <c r="D50" s="34"/>
      <c r="E50" s="34"/>
      <c r="F50" s="34"/>
      <c r="G50" s="34"/>
      <c r="H50" s="34"/>
    </row>
    <row r="51" spans="2:8" x14ac:dyDescent="0.2">
      <c r="B51" s="34"/>
      <c r="C51" s="34"/>
      <c r="D51" s="34"/>
      <c r="E51" s="34"/>
      <c r="F51" s="34"/>
      <c r="G51" s="34"/>
      <c r="H51" s="34"/>
    </row>
    <row r="52" spans="2:8" x14ac:dyDescent="0.2">
      <c r="B52" s="34"/>
      <c r="C52" s="34"/>
      <c r="D52" s="34"/>
      <c r="E52" s="34"/>
      <c r="F52" s="34"/>
      <c r="G52" s="34"/>
      <c r="H52" s="34"/>
    </row>
    <row r="53" spans="2:8" x14ac:dyDescent="0.2">
      <c r="B53" s="34"/>
      <c r="C53" s="34"/>
      <c r="D53" s="34"/>
      <c r="E53" s="34"/>
      <c r="F53" s="34"/>
      <c r="G53" s="34"/>
      <c r="H53" s="34"/>
    </row>
    <row r="54" spans="2:8" x14ac:dyDescent="0.2">
      <c r="B54" s="34"/>
      <c r="C54" s="34"/>
      <c r="D54" s="34"/>
      <c r="E54" s="34"/>
      <c r="F54" s="34"/>
      <c r="G54" s="34"/>
      <c r="H54" s="34"/>
    </row>
    <row r="55" spans="2:8" x14ac:dyDescent="0.2">
      <c r="B55" s="34"/>
      <c r="C55" s="34"/>
      <c r="D55" s="34"/>
      <c r="E55" s="34"/>
      <c r="F55" s="34"/>
      <c r="G55" s="34"/>
      <c r="H55" s="34"/>
    </row>
    <row r="56" spans="2:8" x14ac:dyDescent="0.2">
      <c r="B56" s="34"/>
      <c r="C56" s="34"/>
      <c r="D56" s="34"/>
      <c r="E56" s="34"/>
      <c r="F56" s="34"/>
      <c r="G56" s="34"/>
      <c r="H56" s="34"/>
    </row>
    <row r="57" spans="2:8" x14ac:dyDescent="0.2">
      <c r="B57" s="34"/>
      <c r="C57" s="34"/>
      <c r="D57" s="34"/>
      <c r="E57" s="34"/>
      <c r="F57" s="34"/>
      <c r="G57" s="34"/>
      <c r="H57" s="34"/>
    </row>
    <row r="58" spans="2:8" x14ac:dyDescent="0.2">
      <c r="B58" s="34"/>
      <c r="C58" s="34"/>
      <c r="D58" s="34"/>
      <c r="E58" s="34"/>
      <c r="F58" s="34"/>
      <c r="G58" s="34"/>
      <c r="H58" s="34"/>
    </row>
    <row r="59" spans="2:8" x14ac:dyDescent="0.2">
      <c r="B59" s="34"/>
      <c r="C59" s="34"/>
      <c r="D59" s="34"/>
      <c r="E59" s="34"/>
      <c r="F59" s="34"/>
      <c r="G59" s="34"/>
      <c r="H59" s="34"/>
    </row>
    <row r="60" spans="2:8" x14ac:dyDescent="0.2">
      <c r="B60" s="34"/>
      <c r="C60" s="34"/>
      <c r="D60" s="34"/>
      <c r="E60" s="34"/>
      <c r="F60" s="34"/>
      <c r="G60" s="34"/>
      <c r="H60" s="34"/>
    </row>
    <row r="61" spans="2:8" x14ac:dyDescent="0.2">
      <c r="B61" s="34"/>
      <c r="C61" s="34"/>
      <c r="D61" s="34"/>
      <c r="E61" s="34"/>
      <c r="F61" s="34"/>
      <c r="G61" s="34"/>
      <c r="H61" s="34"/>
    </row>
    <row r="62" spans="2:8" x14ac:dyDescent="0.2">
      <c r="B62" s="34"/>
      <c r="C62" s="34"/>
      <c r="D62" s="34"/>
      <c r="E62" s="34"/>
      <c r="F62" s="34"/>
      <c r="G62" s="34"/>
      <c r="H62" s="34"/>
    </row>
    <row r="63" spans="2:8" x14ac:dyDescent="0.2">
      <c r="B63" s="34"/>
      <c r="C63" s="34"/>
      <c r="D63" s="34"/>
      <c r="E63" s="34"/>
      <c r="F63" s="34"/>
      <c r="G63" s="34"/>
      <c r="H63" s="34"/>
    </row>
    <row r="64" spans="2:8" x14ac:dyDescent="0.2">
      <c r="B64" s="34"/>
      <c r="C64" s="34"/>
      <c r="D64" s="34"/>
      <c r="E64" s="34"/>
      <c r="F64" s="34"/>
      <c r="G64" s="34"/>
      <c r="H64" s="34"/>
    </row>
    <row r="65" spans="2:8" x14ac:dyDescent="0.2">
      <c r="B65" s="34"/>
      <c r="C65" s="34"/>
      <c r="D65" s="34"/>
      <c r="E65" s="34"/>
      <c r="F65" s="34"/>
      <c r="G65" s="34"/>
      <c r="H65" s="34"/>
    </row>
    <row r="66" spans="2:8" x14ac:dyDescent="0.2">
      <c r="B66" s="34"/>
      <c r="C66" s="34"/>
      <c r="D66" s="34"/>
      <c r="E66" s="34"/>
      <c r="F66" s="34"/>
      <c r="G66" s="34"/>
      <c r="H66" s="34"/>
    </row>
    <row r="67" spans="2:8" x14ac:dyDescent="0.2">
      <c r="B67" s="34"/>
      <c r="C67" s="34"/>
      <c r="D67" s="34"/>
      <c r="E67" s="34"/>
      <c r="F67" s="34"/>
      <c r="G67" s="34"/>
      <c r="H67" s="34"/>
    </row>
    <row r="68" spans="2:8" x14ac:dyDescent="0.2">
      <c r="B68" s="34"/>
      <c r="C68" s="34"/>
      <c r="D68" s="34"/>
      <c r="E68" s="34"/>
      <c r="F68" s="34"/>
      <c r="G68" s="34"/>
      <c r="H68" s="34"/>
    </row>
    <row r="69" spans="2:8" x14ac:dyDescent="0.2">
      <c r="B69" s="34"/>
      <c r="C69" s="34"/>
      <c r="D69" s="34"/>
      <c r="E69" s="34"/>
      <c r="F69" s="34"/>
      <c r="G69" s="34"/>
      <c r="H69" s="34"/>
    </row>
    <row r="70" spans="2:8" x14ac:dyDescent="0.2">
      <c r="B70" s="34"/>
      <c r="C70" s="34"/>
      <c r="D70" s="34"/>
      <c r="E70" s="34"/>
      <c r="F70" s="34"/>
      <c r="G70" s="34"/>
      <c r="H70" s="34"/>
    </row>
    <row r="71" spans="2:8" x14ac:dyDescent="0.2">
      <c r="B71" s="34"/>
      <c r="C71" s="34"/>
      <c r="D71" s="34"/>
      <c r="E71" s="34"/>
      <c r="F71" s="34"/>
      <c r="G71" s="34"/>
      <c r="H71" s="34"/>
    </row>
    <row r="72" spans="2:8" x14ac:dyDescent="0.2">
      <c r="B72" s="34"/>
      <c r="C72" s="34"/>
      <c r="D72" s="34"/>
      <c r="E72" s="34"/>
      <c r="F72" s="34"/>
      <c r="G72" s="34"/>
      <c r="H72" s="34"/>
    </row>
    <row r="73" spans="2:8" x14ac:dyDescent="0.2">
      <c r="B73" s="34"/>
      <c r="C73" s="34"/>
      <c r="D73" s="34"/>
      <c r="E73" s="34"/>
      <c r="F73" s="34"/>
      <c r="G73" s="34"/>
      <c r="H73" s="34"/>
    </row>
    <row r="74" spans="2:8" x14ac:dyDescent="0.2">
      <c r="B74" s="34"/>
      <c r="C74" s="34"/>
      <c r="D74" s="34"/>
      <c r="E74" s="34"/>
      <c r="F74" s="34"/>
      <c r="G74" s="34"/>
      <c r="H74" s="34"/>
    </row>
    <row r="75" spans="2:8" x14ac:dyDescent="0.2">
      <c r="B75" s="34"/>
      <c r="C75" s="34"/>
      <c r="D75" s="34"/>
      <c r="E75" s="34"/>
      <c r="F75" s="34"/>
      <c r="G75" s="34"/>
      <c r="H75" s="34"/>
    </row>
    <row r="76" spans="2:8" x14ac:dyDescent="0.2">
      <c r="B76" s="34"/>
      <c r="C76" s="34"/>
      <c r="D76" s="34"/>
      <c r="E76" s="34"/>
      <c r="F76" s="34"/>
      <c r="G76" s="34"/>
      <c r="H76" s="34"/>
    </row>
    <row r="77" spans="2:8" x14ac:dyDescent="0.2">
      <c r="B77" s="34"/>
      <c r="C77" s="34"/>
      <c r="D77" s="34"/>
      <c r="E77" s="34"/>
      <c r="F77" s="34"/>
      <c r="G77" s="34"/>
      <c r="H77" s="34"/>
    </row>
    <row r="78" spans="2:8" x14ac:dyDescent="0.2">
      <c r="B78" s="34"/>
      <c r="C78" s="34"/>
      <c r="D78" s="34"/>
      <c r="E78" s="34"/>
      <c r="F78" s="34"/>
      <c r="G78" s="34"/>
      <c r="H78" s="34"/>
    </row>
    <row r="79" spans="2:8" x14ac:dyDescent="0.2">
      <c r="B79" s="34"/>
      <c r="C79" s="34"/>
      <c r="D79" s="34"/>
      <c r="E79" s="34"/>
      <c r="F79" s="34"/>
      <c r="G79" s="34"/>
      <c r="H79" s="34"/>
    </row>
    <row r="80" spans="2:8" x14ac:dyDescent="0.2">
      <c r="B80" s="34"/>
      <c r="C80" s="34"/>
      <c r="D80" s="34"/>
      <c r="E80" s="34"/>
      <c r="F80" s="34"/>
      <c r="G80" s="34"/>
      <c r="H80" s="34"/>
    </row>
    <row r="81" spans="2:8" x14ac:dyDescent="0.2">
      <c r="B81" s="34"/>
      <c r="C81" s="34"/>
      <c r="D81" s="34"/>
      <c r="E81" s="34"/>
      <c r="F81" s="34"/>
      <c r="G81" s="34"/>
      <c r="H81" s="34"/>
    </row>
    <row r="82" spans="2:8" x14ac:dyDescent="0.2">
      <c r="B82" s="34"/>
      <c r="C82" s="34"/>
      <c r="D82" s="34"/>
      <c r="E82" s="34"/>
      <c r="F82" s="34"/>
      <c r="G82" s="34"/>
      <c r="H82" s="34"/>
    </row>
    <row r="83" spans="2:8" x14ac:dyDescent="0.2">
      <c r="B83" s="34"/>
      <c r="C83" s="34"/>
      <c r="D83" s="34"/>
      <c r="E83" s="34"/>
      <c r="F83" s="34"/>
      <c r="G83" s="34"/>
      <c r="H83" s="34"/>
    </row>
    <row r="84" spans="2:8" x14ac:dyDescent="0.2">
      <c r="B84" s="34"/>
      <c r="C84" s="34"/>
      <c r="D84" s="34"/>
      <c r="E84" s="34"/>
      <c r="F84" s="34"/>
      <c r="G84" s="34"/>
      <c r="H84" s="34"/>
    </row>
    <row r="85" spans="2:8" x14ac:dyDescent="0.2">
      <c r="B85" s="34"/>
      <c r="C85" s="34"/>
      <c r="D85" s="34"/>
      <c r="E85" s="34"/>
      <c r="F85" s="34"/>
      <c r="G85" s="34"/>
      <c r="H85" s="34"/>
    </row>
    <row r="86" spans="2:8" x14ac:dyDescent="0.2">
      <c r="B86" s="34"/>
      <c r="C86" s="34"/>
      <c r="D86" s="34"/>
      <c r="E86" s="34"/>
      <c r="F86" s="34"/>
      <c r="G86" s="34"/>
      <c r="H86" s="34"/>
    </row>
    <row r="87" spans="2:8" x14ac:dyDescent="0.2">
      <c r="B87" s="34"/>
      <c r="C87" s="34"/>
      <c r="D87" s="34"/>
      <c r="E87" s="34"/>
      <c r="F87" s="34"/>
      <c r="G87" s="34"/>
      <c r="H87" s="34"/>
    </row>
    <row r="88" spans="2:8" x14ac:dyDescent="0.2">
      <c r="B88" s="34"/>
      <c r="C88" s="34"/>
      <c r="D88" s="34"/>
      <c r="E88" s="34"/>
      <c r="F88" s="34"/>
      <c r="G88" s="34"/>
      <c r="H88" s="34"/>
    </row>
    <row r="89" spans="2:8" x14ac:dyDescent="0.2">
      <c r="B89" s="34"/>
      <c r="C89" s="34"/>
      <c r="D89" s="34"/>
      <c r="E89" s="34"/>
      <c r="F89" s="34"/>
      <c r="G89" s="34"/>
      <c r="H89" s="34"/>
    </row>
    <row r="90" spans="2:8" x14ac:dyDescent="0.2">
      <c r="B90" s="34"/>
      <c r="C90" s="34"/>
      <c r="D90" s="34"/>
      <c r="E90" s="34"/>
      <c r="F90" s="34"/>
      <c r="G90" s="34"/>
      <c r="H90" s="34"/>
    </row>
    <row r="91" spans="2:8" x14ac:dyDescent="0.2">
      <c r="B91" s="34"/>
      <c r="C91" s="34"/>
      <c r="D91" s="34"/>
      <c r="E91" s="34"/>
      <c r="F91" s="34"/>
      <c r="G91" s="34"/>
      <c r="H91" s="34"/>
    </row>
    <row r="92" spans="2:8" x14ac:dyDescent="0.2">
      <c r="B92" s="34"/>
      <c r="C92" s="34"/>
      <c r="D92" s="34"/>
      <c r="E92" s="34"/>
      <c r="F92" s="34"/>
      <c r="G92" s="34"/>
      <c r="H92" s="34"/>
    </row>
    <row r="93" spans="2:8" x14ac:dyDescent="0.2">
      <c r="B93" s="34"/>
      <c r="C93" s="34"/>
      <c r="D93" s="34"/>
      <c r="E93" s="34"/>
      <c r="F93" s="34"/>
      <c r="G93" s="34"/>
      <c r="H93" s="34"/>
    </row>
    <row r="94" spans="2:8" x14ac:dyDescent="0.2">
      <c r="B94" s="34"/>
      <c r="C94" s="34"/>
      <c r="D94" s="34"/>
      <c r="E94" s="34"/>
      <c r="F94" s="34"/>
      <c r="G94" s="34"/>
      <c r="H94" s="34"/>
    </row>
  </sheetData>
  <mergeCells count="7">
    <mergeCell ref="B37:E37"/>
    <mergeCell ref="B2:E2"/>
    <mergeCell ref="B13:E13"/>
    <mergeCell ref="C7:E7"/>
    <mergeCell ref="D6:E6"/>
    <mergeCell ref="C3:E3"/>
    <mergeCell ref="C4:E4"/>
  </mergeCells>
  <phoneticPr fontId="0" type="noConversion"/>
  <hyperlinks>
    <hyperlink ref="C42" r:id="rId1" xr:uid="{00000000-0004-0000-0000-000000000000}"/>
    <hyperlink ref="C44" r:id="rId2" xr:uid="{00000000-0004-0000-0000-000001000000}"/>
  </hyperlinks>
  <printOptions horizontalCentered="1"/>
  <pageMargins left="0.5" right="0.5" top="1" bottom="0.5" header="0" footer="0"/>
  <pageSetup paperSize="9" scale="88" orientation="portrait" horizontalDpi="300" verticalDpi="300" r:id="rId3"/>
  <headerFooter alignWithMargins="0">
    <oddFooter>&amp;L&amp;BLear Corporation Confidencial&amp;B&amp;C&amp;A&amp;RPágina &amp;P</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4" r:id="rId6" name="Check Box 2">
              <controlPr locked="0" defaultSize="0" autoFill="0" autoLine="0" autoPict="0">
                <anchor moveWithCells="1">
                  <from>
                    <xdr:col>2</xdr:col>
                    <xdr:colOff>1352550</xdr:colOff>
                    <xdr:row>3</xdr:row>
                    <xdr:rowOff>200025</xdr:rowOff>
                  </from>
                  <to>
                    <xdr:col>2</xdr:col>
                    <xdr:colOff>1657350</xdr:colOff>
                    <xdr:row>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pageSetUpPr fitToPage="1"/>
  </sheetPr>
  <dimension ref="B1:E21"/>
  <sheetViews>
    <sheetView showGridLines="0" tabSelected="1" workbookViewId="0">
      <selection activeCell="D5" sqref="D5"/>
    </sheetView>
  </sheetViews>
  <sheetFormatPr defaultColWidth="11.42578125" defaultRowHeight="12.75" x14ac:dyDescent="0.2"/>
  <cols>
    <col min="1" max="1" width="1.42578125" customWidth="1"/>
    <col min="2" max="2" width="24.42578125" customWidth="1"/>
    <col min="3" max="3" width="27" customWidth="1"/>
    <col min="4" max="4" width="30.28515625" customWidth="1"/>
    <col min="5" max="5" width="22.42578125" customWidth="1"/>
    <col min="6" max="256" width="9.140625" customWidth="1"/>
  </cols>
  <sheetData>
    <row r="1" spans="2:5" ht="3.75" customHeight="1" thickBot="1" x14ac:dyDescent="0.25"/>
    <row r="2" spans="2:5" x14ac:dyDescent="0.2">
      <c r="B2" s="94" t="s">
        <v>62</v>
      </c>
      <c r="C2" s="95"/>
      <c r="D2" s="95"/>
      <c r="E2" s="96"/>
    </row>
    <row r="3" spans="2:5" ht="12.75" customHeight="1" x14ac:dyDescent="0.2">
      <c r="B3" s="16"/>
      <c r="C3" s="105" t="s">
        <v>9</v>
      </c>
      <c r="D3" s="106"/>
      <c r="E3" s="107"/>
    </row>
    <row r="4" spans="2:5" x14ac:dyDescent="0.2">
      <c r="B4" s="18"/>
      <c r="C4" s="109" t="str">
        <f>Doc_Reference</f>
        <v>SDMR-SW-363.xls</v>
      </c>
      <c r="D4" s="108"/>
      <c r="E4" s="104"/>
    </row>
    <row r="5" spans="2:5" ht="12.75" customHeight="1" x14ac:dyDescent="0.2">
      <c r="B5" s="18"/>
      <c r="C5" s="20" t="s">
        <v>10</v>
      </c>
      <c r="D5" s="17" t="s">
        <v>262</v>
      </c>
      <c r="E5" s="19"/>
    </row>
    <row r="6" spans="2:5" ht="14.25" customHeight="1" x14ac:dyDescent="0.2">
      <c r="B6" s="18"/>
      <c r="C6" s="21" t="str">
        <f>Approval_Resp</f>
        <v>Process CCB</v>
      </c>
      <c r="D6" s="109" t="str">
        <f>Project_Name</f>
        <v>SSE Process</v>
      </c>
      <c r="E6" s="104"/>
    </row>
    <row r="7" spans="2:5" ht="35.25" customHeight="1" thickBot="1" x14ac:dyDescent="0.25">
      <c r="B7" s="22" t="s">
        <v>50</v>
      </c>
      <c r="C7" s="100" t="str">
        <f>Doc_Title</f>
        <v>TITLE: Software Delivery Memory Report Template</v>
      </c>
      <c r="D7" s="101"/>
      <c r="E7" s="102"/>
    </row>
    <row r="9" spans="2:5" ht="18" x14ac:dyDescent="0.25">
      <c r="B9" s="37" t="s">
        <v>29</v>
      </c>
    </row>
    <row r="11" spans="2:5" x14ac:dyDescent="0.2">
      <c r="C11" s="39"/>
    </row>
    <row r="12" spans="2:5" ht="15" x14ac:dyDescent="0.2">
      <c r="C12" s="38" t="s">
        <v>32</v>
      </c>
    </row>
    <row r="13" spans="2:5" x14ac:dyDescent="0.2">
      <c r="D13" s="39" t="s">
        <v>33</v>
      </c>
    </row>
    <row r="14" spans="2:5" x14ac:dyDescent="0.2">
      <c r="D14" s="39"/>
    </row>
    <row r="15" spans="2:5" ht="15" x14ac:dyDescent="0.2">
      <c r="C15" s="38" t="s">
        <v>34</v>
      </c>
    </row>
    <row r="17" spans="3:4" x14ac:dyDescent="0.2">
      <c r="D17" s="39" t="s">
        <v>35</v>
      </c>
    </row>
    <row r="18" spans="3:4" x14ac:dyDescent="0.2">
      <c r="D18" s="39"/>
    </row>
    <row r="19" spans="3:4" ht="15" x14ac:dyDescent="0.2">
      <c r="C19" s="38" t="s">
        <v>36</v>
      </c>
    </row>
    <row r="21" spans="3:4" x14ac:dyDescent="0.2">
      <c r="D21" s="39" t="s">
        <v>37</v>
      </c>
    </row>
  </sheetData>
  <mergeCells count="5">
    <mergeCell ref="C7:E7"/>
    <mergeCell ref="B2:E2"/>
    <mergeCell ref="C3:E3"/>
    <mergeCell ref="C4:E4"/>
    <mergeCell ref="D6:E6"/>
  </mergeCells>
  <phoneticPr fontId="0" type="noConversion"/>
  <hyperlinks>
    <hyperlink ref="C12" location="Incidences!A1" display="Incidences!A1" xr:uid="{00000000-0004-0000-0100-000000000000}"/>
    <hyperlink ref="C15" location="Incidences!A1" display="Incidences!A1" xr:uid="{00000000-0004-0000-0100-000001000000}"/>
    <hyperlink ref="C19" location="Incidences!A1" display="Incidences!A1" xr:uid="{00000000-0004-0000-0100-000002000000}"/>
  </hyperlinks>
  <printOptions horizontalCentered="1"/>
  <pageMargins left="0.5" right="0.5" top="1" bottom="0.75" header="0" footer="0"/>
  <pageSetup paperSize="9" scale="89" orientation="portrait" horizontalDpi="300" verticalDpi="300" r:id="rId1"/>
  <headerFooter alignWithMargins="0">
    <oddFooter>&amp;L&amp;BLear Corporation Confidencial&amp;B&amp;C&amp;A&amp;RPágina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pageSetUpPr fitToPage="1"/>
  </sheetPr>
  <dimension ref="A1:G354"/>
  <sheetViews>
    <sheetView showGridLines="0" workbookViewId="0">
      <pane ySplit="11" topLeftCell="A175" activePane="bottomLeft" state="frozen"/>
      <selection pane="bottomLeft" activeCell="D4" sqref="D4"/>
    </sheetView>
  </sheetViews>
  <sheetFormatPr defaultColWidth="11.42578125" defaultRowHeight="12.75" x14ac:dyDescent="0.2"/>
  <cols>
    <col min="1" max="1" width="24.28515625" customWidth="1"/>
    <col min="2" max="2" width="7.28515625" customWidth="1"/>
    <col min="3" max="3" width="19.7109375" customWidth="1"/>
    <col min="4" max="4" width="27.85546875" style="78" bestFit="1" customWidth="1"/>
    <col min="5" max="5" width="21.140625" customWidth="1"/>
    <col min="6" max="6" width="12.42578125" customWidth="1"/>
    <col min="7" max="7" width="12.140625" customWidth="1"/>
    <col min="8" max="254" width="9.140625" customWidth="1"/>
  </cols>
  <sheetData>
    <row r="1" spans="1:7" x14ac:dyDescent="0.2">
      <c r="A1" s="110" t="s">
        <v>62</v>
      </c>
      <c r="B1" s="111"/>
      <c r="C1" s="111"/>
      <c r="D1" s="111"/>
    </row>
    <row r="2" spans="1:7" ht="12.75" customHeight="1" x14ac:dyDescent="0.2">
      <c r="A2" s="16"/>
      <c r="B2" s="116" t="s">
        <v>9</v>
      </c>
      <c r="C2" s="117"/>
      <c r="D2" s="117"/>
      <c r="E2" s="117"/>
      <c r="F2" s="117"/>
      <c r="G2" s="117"/>
    </row>
    <row r="3" spans="1:7" ht="12.75" customHeight="1" x14ac:dyDescent="0.2">
      <c r="A3" s="18"/>
      <c r="B3" s="118" t="str">
        <f>Doc_Reference</f>
        <v>SDMR-SW-363.xls</v>
      </c>
      <c r="C3" s="119"/>
      <c r="D3" s="119"/>
      <c r="E3" s="119"/>
      <c r="F3" s="119"/>
      <c r="G3" s="119"/>
    </row>
    <row r="4" spans="1:7" ht="16.5" customHeight="1" x14ac:dyDescent="0.2">
      <c r="A4" s="18"/>
      <c r="B4" s="112" t="s">
        <v>10</v>
      </c>
      <c r="C4" s="112"/>
      <c r="D4" s="76" t="s">
        <v>262</v>
      </c>
    </row>
    <row r="5" spans="1:7" ht="17.25" customHeight="1" x14ac:dyDescent="0.2">
      <c r="A5" s="18"/>
      <c r="B5" s="113" t="str">
        <f>Approval_Resp</f>
        <v>Process CCB</v>
      </c>
      <c r="C5" s="113"/>
      <c r="D5" s="77" t="str">
        <f>Project_Name</f>
        <v>SSE Process</v>
      </c>
    </row>
    <row r="6" spans="1:7" ht="30.75" customHeight="1" thickBot="1" x14ac:dyDescent="0.25">
      <c r="A6" s="22" t="s">
        <v>50</v>
      </c>
      <c r="B6" s="114" t="str">
        <f>Doc_Title</f>
        <v>TITLE: Software Delivery Memory Report Template</v>
      </c>
      <c r="C6" s="115"/>
      <c r="D6" s="115"/>
      <c r="E6" s="115"/>
      <c r="F6" s="115"/>
      <c r="G6" s="115"/>
    </row>
    <row r="8" spans="1:7" x14ac:dyDescent="0.2">
      <c r="A8" s="41"/>
      <c r="B8" s="42"/>
      <c r="C8" s="42"/>
    </row>
    <row r="9" spans="1:7" x14ac:dyDescent="0.2">
      <c r="A9" s="41"/>
      <c r="B9" s="42"/>
      <c r="C9" s="42"/>
    </row>
    <row r="10" spans="1:7" x14ac:dyDescent="0.2">
      <c r="A10" s="40"/>
    </row>
    <row r="11" spans="1:7" s="1" customFormat="1" ht="15.75" x14ac:dyDescent="0.25">
      <c r="A11" s="51" t="s">
        <v>0</v>
      </c>
      <c r="B11" s="51" t="s">
        <v>1</v>
      </c>
      <c r="C11" s="51" t="s">
        <v>119</v>
      </c>
      <c r="D11" s="79" t="s">
        <v>120</v>
      </c>
      <c r="E11" s="51" t="s">
        <v>121</v>
      </c>
      <c r="F11" s="51" t="s">
        <v>2</v>
      </c>
      <c r="G11" s="51" t="s">
        <v>3</v>
      </c>
    </row>
    <row r="12" spans="1:7" x14ac:dyDescent="0.2">
      <c r="A12" s="15" t="s">
        <v>148</v>
      </c>
      <c r="B12" s="15"/>
      <c r="C12" s="73">
        <v>58</v>
      </c>
      <c r="D12" s="15">
        <v>814</v>
      </c>
      <c r="E12" s="15"/>
      <c r="F12" s="15"/>
      <c r="G12" s="15"/>
    </row>
    <row r="13" spans="1:7" x14ac:dyDescent="0.2">
      <c r="A13" s="58" t="s">
        <v>183</v>
      </c>
      <c r="B13" s="58"/>
      <c r="C13" s="74">
        <v>0</v>
      </c>
      <c r="D13" s="58">
        <v>352</v>
      </c>
      <c r="E13" s="58"/>
      <c r="F13" s="58"/>
      <c r="G13" s="58"/>
    </row>
    <row r="14" spans="1:7" x14ac:dyDescent="0.2">
      <c r="A14" s="15" t="s">
        <v>233</v>
      </c>
      <c r="B14" s="15"/>
      <c r="C14" s="73">
        <v>0</v>
      </c>
      <c r="D14" s="15">
        <v>24</v>
      </c>
      <c r="E14" s="15"/>
      <c r="F14" s="15"/>
      <c r="G14" s="15"/>
    </row>
    <row r="15" spans="1:7" x14ac:dyDescent="0.2">
      <c r="A15" s="58" t="s">
        <v>109</v>
      </c>
      <c r="B15" s="58"/>
      <c r="C15" s="74">
        <v>7</v>
      </c>
      <c r="D15" s="58">
        <v>3252</v>
      </c>
      <c r="E15" s="58"/>
      <c r="F15" s="58"/>
      <c r="G15" s="58"/>
    </row>
    <row r="16" spans="1:7" x14ac:dyDescent="0.2">
      <c r="A16" s="15" t="s">
        <v>170</v>
      </c>
      <c r="B16" s="15"/>
      <c r="C16" s="73">
        <v>0</v>
      </c>
      <c r="D16" s="15">
        <v>526</v>
      </c>
      <c r="E16" s="15"/>
      <c r="F16" s="15"/>
      <c r="G16" s="15"/>
    </row>
    <row r="17" spans="1:7" x14ac:dyDescent="0.2">
      <c r="A17" s="58" t="s">
        <v>77</v>
      </c>
      <c r="B17" s="58"/>
      <c r="C17" s="74">
        <v>1187</v>
      </c>
      <c r="D17" s="58">
        <v>27438</v>
      </c>
      <c r="E17" s="58"/>
      <c r="F17" s="58"/>
      <c r="G17" s="58"/>
    </row>
    <row r="18" spans="1:7" x14ac:dyDescent="0.2">
      <c r="A18" s="15" t="s">
        <v>161</v>
      </c>
      <c r="B18" s="15"/>
      <c r="C18" s="73">
        <v>1</v>
      </c>
      <c r="D18" s="15">
        <v>676</v>
      </c>
      <c r="E18" s="15"/>
      <c r="F18" s="15"/>
      <c r="G18" s="15"/>
    </row>
    <row r="19" spans="1:7" x14ac:dyDescent="0.2">
      <c r="A19" s="58" t="s">
        <v>82</v>
      </c>
      <c r="B19" s="58"/>
      <c r="C19" s="74">
        <v>12</v>
      </c>
      <c r="D19" s="58">
        <v>7918</v>
      </c>
      <c r="E19" s="58"/>
      <c r="F19" s="58"/>
      <c r="G19" s="58"/>
    </row>
    <row r="20" spans="1:7" x14ac:dyDescent="0.2">
      <c r="A20" s="15" t="s">
        <v>209</v>
      </c>
      <c r="B20" s="15"/>
      <c r="C20" s="73">
        <v>0</v>
      </c>
      <c r="D20" s="15">
        <v>96</v>
      </c>
      <c r="E20" s="15"/>
      <c r="F20" s="15"/>
      <c r="G20" s="15"/>
    </row>
    <row r="21" spans="1:7" x14ac:dyDescent="0.2">
      <c r="A21" s="58" t="s">
        <v>254</v>
      </c>
      <c r="B21" s="58"/>
      <c r="C21" s="74">
        <v>512</v>
      </c>
      <c r="D21" s="58">
        <v>0</v>
      </c>
      <c r="E21" s="58"/>
      <c r="F21" s="58"/>
      <c r="G21" s="58"/>
    </row>
    <row r="22" spans="1:7" x14ac:dyDescent="0.2">
      <c r="A22" s="15" t="s">
        <v>83</v>
      </c>
      <c r="B22" s="15"/>
      <c r="C22" s="73">
        <v>600</v>
      </c>
      <c r="D22" s="15">
        <v>7026</v>
      </c>
      <c r="E22" s="15"/>
      <c r="F22" s="15"/>
      <c r="G22" s="15"/>
    </row>
    <row r="23" spans="1:7" x14ac:dyDescent="0.2">
      <c r="A23" s="58" t="s">
        <v>103</v>
      </c>
      <c r="B23" s="58"/>
      <c r="C23" s="74">
        <v>5</v>
      </c>
      <c r="D23" s="58">
        <v>5121</v>
      </c>
      <c r="E23" s="58"/>
      <c r="F23" s="58"/>
      <c r="G23" s="58"/>
    </row>
    <row r="24" spans="1:7" x14ac:dyDescent="0.2">
      <c r="A24" s="15" t="s">
        <v>212</v>
      </c>
      <c r="B24" s="15"/>
      <c r="C24" s="73">
        <v>64</v>
      </c>
      <c r="D24" s="15">
        <v>80</v>
      </c>
      <c r="E24" s="15"/>
      <c r="F24" s="15"/>
      <c r="G24" s="15"/>
    </row>
    <row r="25" spans="1:7" x14ac:dyDescent="0.2">
      <c r="A25" s="58" t="s">
        <v>73</v>
      </c>
      <c r="B25" s="58"/>
      <c r="C25" s="74">
        <v>14200</v>
      </c>
      <c r="D25" s="58">
        <v>52428</v>
      </c>
      <c r="E25" s="58"/>
      <c r="F25" s="58"/>
      <c r="G25" s="58"/>
    </row>
    <row r="26" spans="1:7" x14ac:dyDescent="0.2">
      <c r="A26" s="15" t="s">
        <v>108</v>
      </c>
      <c r="B26" s="15"/>
      <c r="C26" s="73">
        <v>0</v>
      </c>
      <c r="D26" s="15">
        <v>3435</v>
      </c>
      <c r="E26" s="15"/>
      <c r="F26" s="15"/>
      <c r="G26" s="15"/>
    </row>
    <row r="27" spans="1:7" x14ac:dyDescent="0.2">
      <c r="A27" s="58" t="s">
        <v>201</v>
      </c>
      <c r="B27" s="58"/>
      <c r="C27" s="74">
        <v>192</v>
      </c>
      <c r="D27" s="58">
        <v>178</v>
      </c>
      <c r="E27" s="58"/>
      <c r="F27" s="58"/>
      <c r="G27" s="58"/>
    </row>
    <row r="28" spans="1:7" x14ac:dyDescent="0.2">
      <c r="A28" s="15" t="s">
        <v>113</v>
      </c>
      <c r="B28" s="15"/>
      <c r="C28" s="73">
        <v>2</v>
      </c>
      <c r="D28" s="15">
        <v>2984</v>
      </c>
      <c r="E28" s="15"/>
      <c r="F28" s="15"/>
      <c r="G28" s="15"/>
    </row>
    <row r="29" spans="1:7" x14ac:dyDescent="0.2">
      <c r="A29" s="72" t="s">
        <v>228</v>
      </c>
      <c r="B29" s="58"/>
      <c r="C29" s="74">
        <v>144</v>
      </c>
      <c r="D29" s="58">
        <v>32</v>
      </c>
      <c r="E29" s="58"/>
      <c r="F29" s="58"/>
      <c r="G29" s="58"/>
    </row>
    <row r="30" spans="1:7" x14ac:dyDescent="0.2">
      <c r="A30" s="15" t="s">
        <v>97</v>
      </c>
      <c r="B30" s="15"/>
      <c r="C30" s="73">
        <v>5</v>
      </c>
      <c r="D30" s="15">
        <v>6808</v>
      </c>
      <c r="E30" s="15"/>
      <c r="F30" s="15"/>
      <c r="G30" s="15"/>
    </row>
    <row r="31" spans="1:7" x14ac:dyDescent="0.2">
      <c r="A31" s="58" t="s">
        <v>87</v>
      </c>
      <c r="B31" s="58"/>
      <c r="C31" s="74">
        <v>1664</v>
      </c>
      <c r="D31" s="58">
        <v>1714</v>
      </c>
      <c r="E31" s="58"/>
      <c r="F31" s="58"/>
      <c r="G31" s="58"/>
    </row>
    <row r="32" spans="1:7" x14ac:dyDescent="0.2">
      <c r="A32" s="15" t="s">
        <v>131</v>
      </c>
      <c r="B32" s="15"/>
      <c r="C32" s="73">
        <v>97</v>
      </c>
      <c r="D32" s="15">
        <v>1922</v>
      </c>
      <c r="E32" s="15"/>
      <c r="F32" s="15"/>
      <c r="G32" s="15"/>
    </row>
    <row r="33" spans="1:7" x14ac:dyDescent="0.2">
      <c r="A33" s="58" t="s">
        <v>217</v>
      </c>
      <c r="B33" s="58"/>
      <c r="C33" s="74">
        <v>0</v>
      </c>
      <c r="D33" s="58">
        <v>64</v>
      </c>
      <c r="E33" s="58"/>
      <c r="F33" s="58"/>
      <c r="G33" s="58"/>
    </row>
    <row r="34" spans="1:7" x14ac:dyDescent="0.2">
      <c r="A34" s="15" t="s">
        <v>218</v>
      </c>
      <c r="B34" s="15"/>
      <c r="C34" s="73">
        <v>0</v>
      </c>
      <c r="D34" s="15">
        <v>64</v>
      </c>
      <c r="E34" s="15"/>
      <c r="F34" s="15"/>
      <c r="G34" s="15"/>
    </row>
    <row r="35" spans="1:7" x14ac:dyDescent="0.2">
      <c r="A35" s="58" t="s">
        <v>142</v>
      </c>
      <c r="B35" s="58"/>
      <c r="C35" s="74">
        <v>74</v>
      </c>
      <c r="D35" s="58">
        <v>1014</v>
      </c>
      <c r="E35" s="58"/>
      <c r="F35" s="58"/>
      <c r="G35" s="58"/>
    </row>
    <row r="36" spans="1:7" x14ac:dyDescent="0.2">
      <c r="A36" s="75" t="s">
        <v>75</v>
      </c>
      <c r="B36" s="15"/>
      <c r="C36" s="73">
        <v>4</v>
      </c>
      <c r="D36" s="15">
        <v>32334</v>
      </c>
      <c r="E36" s="15"/>
      <c r="F36" s="15"/>
      <c r="G36" s="15"/>
    </row>
    <row r="37" spans="1:7" x14ac:dyDescent="0.2">
      <c r="A37" s="58" t="s">
        <v>146</v>
      </c>
      <c r="B37" s="58"/>
      <c r="C37" s="74">
        <v>458</v>
      </c>
      <c r="D37" s="58">
        <v>864</v>
      </c>
      <c r="E37" s="58"/>
      <c r="F37" s="58"/>
      <c r="G37" s="58"/>
    </row>
    <row r="38" spans="1:7" x14ac:dyDescent="0.2">
      <c r="A38" s="15" t="s">
        <v>70</v>
      </c>
      <c r="B38" s="15"/>
      <c r="C38" s="73">
        <v>17449</v>
      </c>
      <c r="D38" s="15">
        <v>493173</v>
      </c>
      <c r="E38" s="15"/>
      <c r="F38" s="15"/>
      <c r="G38" s="15"/>
    </row>
    <row r="39" spans="1:7" x14ac:dyDescent="0.2">
      <c r="A39" s="58" t="s">
        <v>85</v>
      </c>
      <c r="B39" s="58"/>
      <c r="C39" s="74">
        <v>46</v>
      </c>
      <c r="D39" s="58">
        <v>3692</v>
      </c>
      <c r="E39" s="58"/>
      <c r="F39" s="58"/>
      <c r="G39" s="58"/>
    </row>
    <row r="40" spans="1:7" x14ac:dyDescent="0.2">
      <c r="A40" s="15" t="s">
        <v>163</v>
      </c>
      <c r="B40" s="15"/>
      <c r="C40" s="73">
        <v>9</v>
      </c>
      <c r="D40" s="15">
        <v>666</v>
      </c>
      <c r="E40" s="15"/>
      <c r="F40" s="15"/>
      <c r="G40" s="15"/>
    </row>
    <row r="41" spans="1:7" x14ac:dyDescent="0.2">
      <c r="A41" s="58" t="s">
        <v>177</v>
      </c>
      <c r="B41" s="58"/>
      <c r="C41" s="74">
        <v>48</v>
      </c>
      <c r="D41" s="58">
        <v>411</v>
      </c>
      <c r="E41" s="58"/>
      <c r="F41" s="58"/>
      <c r="G41" s="58"/>
    </row>
    <row r="42" spans="1:7" x14ac:dyDescent="0.2">
      <c r="A42" s="15" t="s">
        <v>166</v>
      </c>
      <c r="B42" s="15"/>
      <c r="C42" s="73">
        <v>0</v>
      </c>
      <c r="D42" s="15">
        <v>592</v>
      </c>
      <c r="E42" s="15"/>
      <c r="F42" s="15"/>
      <c r="G42" s="15"/>
    </row>
    <row r="43" spans="1:7" x14ac:dyDescent="0.2">
      <c r="A43" s="72" t="s">
        <v>224</v>
      </c>
      <c r="B43" s="58"/>
      <c r="C43" s="74">
        <v>0</v>
      </c>
      <c r="D43" s="58">
        <v>44</v>
      </c>
      <c r="E43" s="58"/>
      <c r="F43" s="58"/>
      <c r="G43" s="58"/>
    </row>
    <row r="44" spans="1:7" x14ac:dyDescent="0.2">
      <c r="A44" s="15" t="s">
        <v>241</v>
      </c>
      <c r="B44" s="15"/>
      <c r="C44" s="73">
        <v>0</v>
      </c>
      <c r="D44" s="15">
        <v>14</v>
      </c>
      <c r="E44" s="15"/>
      <c r="F44" s="15"/>
      <c r="G44" s="15"/>
    </row>
    <row r="45" spans="1:7" x14ac:dyDescent="0.2">
      <c r="A45" s="58" t="s">
        <v>251</v>
      </c>
      <c r="B45" s="58"/>
      <c r="C45" s="74">
        <v>156</v>
      </c>
      <c r="D45" s="58">
        <v>2</v>
      </c>
      <c r="E45" s="58"/>
      <c r="F45" s="58"/>
      <c r="G45" s="58"/>
    </row>
    <row r="46" spans="1:7" x14ac:dyDescent="0.2">
      <c r="A46" s="15" t="s">
        <v>190</v>
      </c>
      <c r="B46" s="15"/>
      <c r="C46" s="73">
        <v>0</v>
      </c>
      <c r="D46" s="15">
        <v>300</v>
      </c>
      <c r="E46" s="15"/>
      <c r="F46" s="15"/>
      <c r="G46" s="15"/>
    </row>
    <row r="47" spans="1:7" x14ac:dyDescent="0.2">
      <c r="A47" s="58" t="s">
        <v>164</v>
      </c>
      <c r="B47" s="58"/>
      <c r="C47" s="74">
        <v>32</v>
      </c>
      <c r="D47" s="58">
        <v>630</v>
      </c>
      <c r="E47" s="58"/>
      <c r="F47" s="58"/>
      <c r="G47" s="58"/>
    </row>
    <row r="48" spans="1:7" x14ac:dyDescent="0.2">
      <c r="A48" s="15" t="s">
        <v>243</v>
      </c>
      <c r="B48" s="15"/>
      <c r="C48" s="73">
        <v>192</v>
      </c>
      <c r="D48" s="15">
        <v>8</v>
      </c>
      <c r="E48" s="15"/>
      <c r="F48" s="15"/>
      <c r="G48" s="15"/>
    </row>
    <row r="49" spans="1:7" x14ac:dyDescent="0.2">
      <c r="A49" s="58" t="s">
        <v>145</v>
      </c>
      <c r="B49" s="58"/>
      <c r="C49" s="74">
        <v>4</v>
      </c>
      <c r="D49" s="58">
        <v>930</v>
      </c>
      <c r="E49" s="58"/>
      <c r="F49" s="58"/>
      <c r="G49" s="58"/>
    </row>
    <row r="50" spans="1:7" x14ac:dyDescent="0.2">
      <c r="A50" s="15" t="s">
        <v>222</v>
      </c>
      <c r="B50" s="15"/>
      <c r="C50" s="73">
        <v>0</v>
      </c>
      <c r="D50" s="15">
        <v>52</v>
      </c>
      <c r="E50" s="15"/>
      <c r="F50" s="15"/>
      <c r="G50" s="15"/>
    </row>
    <row r="51" spans="1:7" x14ac:dyDescent="0.2">
      <c r="A51" s="58" t="s">
        <v>211</v>
      </c>
      <c r="B51" s="58"/>
      <c r="C51" s="74">
        <v>4</v>
      </c>
      <c r="D51" s="58">
        <v>90</v>
      </c>
      <c r="E51" s="58"/>
      <c r="F51" s="58"/>
      <c r="G51" s="58"/>
    </row>
    <row r="52" spans="1:7" x14ac:dyDescent="0.2">
      <c r="A52" s="15" t="s">
        <v>79</v>
      </c>
      <c r="B52" s="15"/>
      <c r="C52" s="73">
        <v>325</v>
      </c>
      <c r="D52" s="15">
        <v>14941</v>
      </c>
      <c r="E52" s="15"/>
      <c r="F52" s="15"/>
      <c r="G52" s="15"/>
    </row>
    <row r="53" spans="1:7" x14ac:dyDescent="0.2">
      <c r="A53" s="58" t="s">
        <v>81</v>
      </c>
      <c r="B53" s="58"/>
      <c r="C53" s="74">
        <v>4095</v>
      </c>
      <c r="D53" s="58">
        <v>8047</v>
      </c>
      <c r="E53" s="58"/>
      <c r="F53" s="58"/>
      <c r="G53" s="58"/>
    </row>
    <row r="54" spans="1:7" x14ac:dyDescent="0.2">
      <c r="A54" s="15" t="s">
        <v>179</v>
      </c>
      <c r="B54" s="15"/>
      <c r="C54" s="73">
        <v>8</v>
      </c>
      <c r="D54" s="15">
        <v>372</v>
      </c>
      <c r="E54" s="15"/>
      <c r="F54" s="15"/>
      <c r="G54" s="15"/>
    </row>
    <row r="55" spans="1:7" x14ac:dyDescent="0.2">
      <c r="A55" s="58" t="s">
        <v>74</v>
      </c>
      <c r="B55" s="58"/>
      <c r="C55" s="74">
        <v>32</v>
      </c>
      <c r="D55" s="58">
        <v>45292</v>
      </c>
      <c r="E55" s="58"/>
      <c r="F55" s="58"/>
      <c r="G55" s="58"/>
    </row>
    <row r="56" spans="1:7" x14ac:dyDescent="0.2">
      <c r="A56" s="15" t="s">
        <v>182</v>
      </c>
      <c r="B56" s="15"/>
      <c r="C56" s="73">
        <v>396</v>
      </c>
      <c r="D56" s="15">
        <v>364</v>
      </c>
      <c r="E56" s="15"/>
      <c r="F56" s="15"/>
      <c r="G56" s="15"/>
    </row>
    <row r="57" spans="1:7" x14ac:dyDescent="0.2">
      <c r="A57" s="58" t="s">
        <v>221</v>
      </c>
      <c r="B57" s="58"/>
      <c r="C57" s="74">
        <v>1</v>
      </c>
      <c r="D57" s="58">
        <v>52</v>
      </c>
      <c r="E57" s="58"/>
      <c r="F57" s="58"/>
      <c r="G57" s="58"/>
    </row>
    <row r="58" spans="1:7" x14ac:dyDescent="0.2">
      <c r="A58" s="15" t="s">
        <v>192</v>
      </c>
      <c r="B58" s="15"/>
      <c r="C58" s="73">
        <v>128</v>
      </c>
      <c r="D58" s="15">
        <v>284</v>
      </c>
      <c r="E58" s="15"/>
      <c r="F58" s="15"/>
      <c r="G58" s="15"/>
    </row>
    <row r="59" spans="1:7" x14ac:dyDescent="0.2">
      <c r="A59" s="58" t="s">
        <v>246</v>
      </c>
      <c r="B59" s="58"/>
      <c r="C59" s="74">
        <v>0</v>
      </c>
      <c r="D59" s="58">
        <v>4</v>
      </c>
      <c r="E59" s="58"/>
      <c r="F59" s="58"/>
      <c r="G59" s="58"/>
    </row>
    <row r="60" spans="1:7" x14ac:dyDescent="0.2">
      <c r="A60" s="15" t="s">
        <v>223</v>
      </c>
      <c r="B60" s="15"/>
      <c r="C60" s="73">
        <v>6</v>
      </c>
      <c r="D60" s="15">
        <v>50</v>
      </c>
      <c r="E60" s="15"/>
      <c r="F60" s="15"/>
      <c r="G60" s="15"/>
    </row>
    <row r="61" spans="1:7" x14ac:dyDescent="0.2">
      <c r="A61" s="58" t="s">
        <v>255</v>
      </c>
      <c r="B61" s="58"/>
      <c r="C61" s="74">
        <v>2</v>
      </c>
      <c r="D61" s="58">
        <v>0</v>
      </c>
      <c r="E61" s="58"/>
      <c r="F61" s="58"/>
      <c r="G61" s="58"/>
    </row>
    <row r="62" spans="1:7" x14ac:dyDescent="0.2">
      <c r="A62" s="15" t="s">
        <v>199</v>
      </c>
      <c r="B62" s="15"/>
      <c r="C62" s="73">
        <v>0</v>
      </c>
      <c r="D62" s="15">
        <v>184</v>
      </c>
      <c r="E62" s="15"/>
      <c r="F62" s="15"/>
      <c r="G62" s="15"/>
    </row>
    <row r="63" spans="1:7" x14ac:dyDescent="0.2">
      <c r="A63" s="58" t="s">
        <v>173</v>
      </c>
      <c r="B63" s="58"/>
      <c r="C63" s="74">
        <v>3</v>
      </c>
      <c r="D63" s="58">
        <v>422</v>
      </c>
      <c r="E63" s="58"/>
      <c r="F63" s="58"/>
      <c r="G63" s="58"/>
    </row>
    <row r="64" spans="1:7" x14ac:dyDescent="0.2">
      <c r="A64" s="15" t="s">
        <v>114</v>
      </c>
      <c r="B64" s="15"/>
      <c r="C64" s="73">
        <v>13</v>
      </c>
      <c r="D64" s="15">
        <v>2976</v>
      </c>
      <c r="E64" s="15"/>
      <c r="F64" s="15"/>
      <c r="G64" s="15"/>
    </row>
    <row r="65" spans="1:7" x14ac:dyDescent="0.2">
      <c r="A65" s="58" t="s">
        <v>76</v>
      </c>
      <c r="B65" s="58"/>
      <c r="C65" s="74">
        <v>23</v>
      </c>
      <c r="D65" s="58">
        <v>31186</v>
      </c>
      <c r="E65" s="58"/>
      <c r="F65" s="58"/>
      <c r="G65" s="58"/>
    </row>
    <row r="66" spans="1:7" x14ac:dyDescent="0.2">
      <c r="A66" s="15" t="s">
        <v>244</v>
      </c>
      <c r="B66" s="15"/>
      <c r="C66" s="73">
        <v>1</v>
      </c>
      <c r="D66" s="15">
        <v>8</v>
      </c>
      <c r="E66" s="15"/>
      <c r="F66" s="15"/>
      <c r="G66" s="15"/>
    </row>
    <row r="67" spans="1:7" x14ac:dyDescent="0.2">
      <c r="A67" s="58" t="s">
        <v>126</v>
      </c>
      <c r="B67" s="58"/>
      <c r="C67" s="74">
        <v>32</v>
      </c>
      <c r="D67" s="58">
        <v>2272</v>
      </c>
      <c r="E67" s="58"/>
      <c r="F67" s="58"/>
      <c r="G67" s="58"/>
    </row>
    <row r="68" spans="1:7" x14ac:dyDescent="0.2">
      <c r="A68" s="15" t="s">
        <v>167</v>
      </c>
      <c r="B68" s="15"/>
      <c r="C68" s="73">
        <v>0</v>
      </c>
      <c r="D68" s="15">
        <v>588</v>
      </c>
      <c r="E68" s="15"/>
      <c r="F68" s="15"/>
      <c r="G68" s="15"/>
    </row>
    <row r="69" spans="1:7" x14ac:dyDescent="0.2">
      <c r="A69" s="72" t="s">
        <v>236</v>
      </c>
      <c r="B69" s="58"/>
      <c r="C69" s="74">
        <v>1</v>
      </c>
      <c r="D69" s="58">
        <v>21</v>
      </c>
      <c r="E69" s="58"/>
      <c r="F69" s="58"/>
      <c r="G69" s="58"/>
    </row>
    <row r="70" spans="1:7" x14ac:dyDescent="0.2">
      <c r="A70" s="15" t="s">
        <v>234</v>
      </c>
      <c r="B70" s="15"/>
      <c r="C70" s="73">
        <v>0</v>
      </c>
      <c r="D70" s="15">
        <v>24</v>
      </c>
      <c r="E70" s="15"/>
      <c r="F70" s="15"/>
      <c r="G70" s="15"/>
    </row>
    <row r="71" spans="1:7" x14ac:dyDescent="0.2">
      <c r="A71" s="58" t="s">
        <v>238</v>
      </c>
      <c r="B71" s="58"/>
      <c r="C71" s="74">
        <v>0</v>
      </c>
      <c r="D71" s="58">
        <v>16</v>
      </c>
      <c r="E71" s="58"/>
      <c r="F71" s="58"/>
      <c r="G71" s="58"/>
    </row>
    <row r="72" spans="1:7" x14ac:dyDescent="0.2">
      <c r="A72" s="15" t="s">
        <v>174</v>
      </c>
      <c r="B72" s="15"/>
      <c r="C72" s="73">
        <v>0</v>
      </c>
      <c r="D72" s="15">
        <v>419</v>
      </c>
      <c r="E72" s="15"/>
      <c r="F72" s="15"/>
      <c r="G72" s="15"/>
    </row>
    <row r="73" spans="1:7" x14ac:dyDescent="0.2">
      <c r="A73" s="58" t="s">
        <v>191</v>
      </c>
      <c r="B73" s="58"/>
      <c r="C73" s="74">
        <v>0</v>
      </c>
      <c r="D73" s="58">
        <v>300</v>
      </c>
      <c r="E73" s="58"/>
      <c r="F73" s="58"/>
      <c r="G73" s="58"/>
    </row>
    <row r="74" spans="1:7" x14ac:dyDescent="0.2">
      <c r="A74" s="15" t="s">
        <v>138</v>
      </c>
      <c r="B74" s="15"/>
      <c r="C74" s="73">
        <v>256</v>
      </c>
      <c r="D74" s="15">
        <v>1290</v>
      </c>
      <c r="E74" s="15"/>
      <c r="F74" s="15"/>
      <c r="G74" s="15"/>
    </row>
    <row r="75" spans="1:7" x14ac:dyDescent="0.2">
      <c r="A75" s="58" t="s">
        <v>227</v>
      </c>
      <c r="B75" s="58"/>
      <c r="C75" s="74">
        <v>0</v>
      </c>
      <c r="D75" s="58">
        <v>36</v>
      </c>
      <c r="E75" s="58"/>
      <c r="F75" s="58"/>
      <c r="G75" s="58"/>
    </row>
    <row r="76" spans="1:7" x14ac:dyDescent="0.2">
      <c r="A76" s="15" t="s">
        <v>193</v>
      </c>
      <c r="B76" s="15"/>
      <c r="C76" s="73">
        <v>0</v>
      </c>
      <c r="D76" s="15">
        <v>274</v>
      </c>
      <c r="E76" s="15"/>
      <c r="F76" s="15"/>
      <c r="G76" s="15"/>
    </row>
    <row r="77" spans="1:7" x14ac:dyDescent="0.2">
      <c r="A77" s="58" t="s">
        <v>137</v>
      </c>
      <c r="B77" s="58"/>
      <c r="C77" s="74">
        <v>17</v>
      </c>
      <c r="D77" s="58">
        <v>1348</v>
      </c>
      <c r="E77" s="58"/>
      <c r="F77" s="58"/>
      <c r="G77" s="58"/>
    </row>
    <row r="78" spans="1:7" x14ac:dyDescent="0.2">
      <c r="A78" s="15" t="s">
        <v>86</v>
      </c>
      <c r="B78" s="15"/>
      <c r="C78" s="73">
        <v>508</v>
      </c>
      <c r="D78" s="15">
        <v>2052</v>
      </c>
      <c r="E78" s="15"/>
      <c r="F78" s="15"/>
      <c r="G78" s="15"/>
    </row>
    <row r="79" spans="1:7" x14ac:dyDescent="0.2">
      <c r="A79" s="58" t="s">
        <v>117</v>
      </c>
      <c r="B79" s="58"/>
      <c r="C79" s="74">
        <v>0</v>
      </c>
      <c r="D79" s="58">
        <v>2568</v>
      </c>
      <c r="E79" s="58"/>
      <c r="F79" s="58"/>
      <c r="G79" s="58"/>
    </row>
    <row r="80" spans="1:7" x14ac:dyDescent="0.2">
      <c r="A80" s="15" t="s">
        <v>162</v>
      </c>
      <c r="B80" s="15"/>
      <c r="C80" s="73">
        <v>296</v>
      </c>
      <c r="D80" s="15">
        <v>668</v>
      </c>
      <c r="E80" s="15"/>
      <c r="F80" s="15"/>
      <c r="G80" s="15"/>
    </row>
    <row r="81" spans="1:7" x14ac:dyDescent="0.2">
      <c r="A81" s="58" t="s">
        <v>136</v>
      </c>
      <c r="B81" s="58"/>
      <c r="C81" s="74">
        <v>0</v>
      </c>
      <c r="D81" s="58">
        <v>1354</v>
      </c>
      <c r="E81" s="58"/>
      <c r="F81" s="58"/>
      <c r="G81" s="58"/>
    </row>
    <row r="82" spans="1:7" x14ac:dyDescent="0.2">
      <c r="A82" s="15" t="s">
        <v>150</v>
      </c>
      <c r="B82" s="15"/>
      <c r="C82" s="73">
        <v>0</v>
      </c>
      <c r="D82" s="15">
        <v>780</v>
      </c>
      <c r="E82" s="15"/>
      <c r="F82" s="15"/>
      <c r="G82" s="15"/>
    </row>
    <row r="83" spans="1:7" x14ac:dyDescent="0.2">
      <c r="A83" s="58" t="s">
        <v>94</v>
      </c>
      <c r="B83" s="58"/>
      <c r="C83" s="74">
        <v>0</v>
      </c>
      <c r="D83" s="58">
        <v>14181</v>
      </c>
      <c r="E83" s="58"/>
      <c r="F83" s="58"/>
      <c r="G83" s="58"/>
    </row>
    <row r="84" spans="1:7" x14ac:dyDescent="0.2">
      <c r="A84" s="15" t="s">
        <v>139</v>
      </c>
      <c r="B84" s="15"/>
      <c r="C84" s="73">
        <v>0</v>
      </c>
      <c r="D84" s="15">
        <v>1260</v>
      </c>
      <c r="E84" s="15"/>
      <c r="F84" s="15"/>
      <c r="G84" s="15"/>
    </row>
    <row r="85" spans="1:7" x14ac:dyDescent="0.2">
      <c r="A85" s="58" t="s">
        <v>184</v>
      </c>
      <c r="B85" s="58"/>
      <c r="C85" s="74">
        <v>0</v>
      </c>
      <c r="D85" s="58">
        <v>334</v>
      </c>
      <c r="E85" s="58"/>
      <c r="F85" s="58"/>
      <c r="G85" s="58"/>
    </row>
    <row r="86" spans="1:7" x14ac:dyDescent="0.2">
      <c r="A86" s="15" t="s">
        <v>188</v>
      </c>
      <c r="B86" s="15"/>
      <c r="C86" s="73">
        <v>0</v>
      </c>
      <c r="D86" s="15">
        <v>304</v>
      </c>
      <c r="E86" s="15"/>
      <c r="F86" s="15"/>
      <c r="G86" s="15"/>
    </row>
    <row r="87" spans="1:7" x14ac:dyDescent="0.2">
      <c r="A87" s="58" t="s">
        <v>208</v>
      </c>
      <c r="B87" s="58"/>
      <c r="C87" s="74">
        <v>0</v>
      </c>
      <c r="D87" s="58">
        <v>108</v>
      </c>
      <c r="E87" s="58"/>
      <c r="F87" s="58"/>
      <c r="G87" s="58"/>
    </row>
    <row r="88" spans="1:7" x14ac:dyDescent="0.2">
      <c r="A88" s="15" t="s">
        <v>134</v>
      </c>
      <c r="B88" s="15"/>
      <c r="C88" s="73">
        <v>4</v>
      </c>
      <c r="D88" s="15">
        <v>1538</v>
      </c>
      <c r="E88" s="15"/>
      <c r="F88" s="15"/>
      <c r="G88" s="15"/>
    </row>
    <row r="89" spans="1:7" x14ac:dyDescent="0.2">
      <c r="A89" s="58" t="s">
        <v>240</v>
      </c>
      <c r="B89" s="58"/>
      <c r="C89" s="74">
        <v>0</v>
      </c>
      <c r="D89" s="58">
        <v>16</v>
      </c>
      <c r="E89" s="58"/>
      <c r="F89" s="58"/>
      <c r="G89" s="58"/>
    </row>
    <row r="90" spans="1:7" x14ac:dyDescent="0.2">
      <c r="A90" s="15" t="s">
        <v>165</v>
      </c>
      <c r="B90" s="15"/>
      <c r="C90" s="73">
        <v>480</v>
      </c>
      <c r="D90" s="15">
        <v>621</v>
      </c>
      <c r="E90" s="15"/>
      <c r="F90" s="15"/>
      <c r="G90" s="15"/>
    </row>
    <row r="91" spans="1:7" x14ac:dyDescent="0.2">
      <c r="A91" s="58" t="s">
        <v>91</v>
      </c>
      <c r="B91" s="58"/>
      <c r="C91" s="74">
        <v>376</v>
      </c>
      <c r="D91" s="58">
        <v>1196</v>
      </c>
      <c r="E91" s="58"/>
      <c r="F91" s="58"/>
      <c r="G91" s="58"/>
    </row>
    <row r="92" spans="1:7" x14ac:dyDescent="0.2">
      <c r="A92" s="15" t="s">
        <v>115</v>
      </c>
      <c r="B92" s="15"/>
      <c r="C92" s="73">
        <v>4</v>
      </c>
      <c r="D92" s="15">
        <v>2808</v>
      </c>
      <c r="E92" s="15"/>
      <c r="F92" s="15"/>
      <c r="G92" s="15"/>
    </row>
    <row r="93" spans="1:7" x14ac:dyDescent="0.2">
      <c r="A93" s="58" t="s">
        <v>89</v>
      </c>
      <c r="B93" s="58"/>
      <c r="C93" s="74">
        <v>1056</v>
      </c>
      <c r="D93" s="58">
        <v>1672</v>
      </c>
      <c r="E93" s="58"/>
      <c r="F93" s="58"/>
      <c r="G93" s="58"/>
    </row>
    <row r="94" spans="1:7" x14ac:dyDescent="0.2">
      <c r="A94" s="15" t="s">
        <v>235</v>
      </c>
      <c r="B94" s="15"/>
      <c r="C94" s="73">
        <v>0</v>
      </c>
      <c r="D94" s="15">
        <v>22</v>
      </c>
      <c r="E94" s="15"/>
      <c r="F94" s="15"/>
      <c r="G94" s="15"/>
    </row>
    <row r="95" spans="1:7" x14ac:dyDescent="0.2">
      <c r="A95" s="58" t="s">
        <v>72</v>
      </c>
      <c r="B95" s="58"/>
      <c r="C95" s="74">
        <v>4112</v>
      </c>
      <c r="D95" s="58">
        <v>83378</v>
      </c>
      <c r="E95" s="58"/>
      <c r="F95" s="58"/>
      <c r="G95" s="58"/>
    </row>
    <row r="96" spans="1:7" x14ac:dyDescent="0.2">
      <c r="A96" s="15" t="s">
        <v>125</v>
      </c>
      <c r="B96" s="15"/>
      <c r="C96" s="73">
        <v>30</v>
      </c>
      <c r="D96" s="15">
        <v>2304</v>
      </c>
      <c r="E96" s="15"/>
      <c r="F96" s="15"/>
      <c r="G96" s="15"/>
    </row>
    <row r="97" spans="1:7" x14ac:dyDescent="0.2">
      <c r="A97" s="58" t="s">
        <v>180</v>
      </c>
      <c r="B97" s="58"/>
      <c r="C97" s="74">
        <v>0</v>
      </c>
      <c r="D97" s="58">
        <v>372</v>
      </c>
      <c r="E97" s="58"/>
      <c r="F97" s="58"/>
      <c r="G97" s="58"/>
    </row>
    <row r="98" spans="1:7" x14ac:dyDescent="0.2">
      <c r="A98" s="15" t="s">
        <v>213</v>
      </c>
      <c r="B98" s="15"/>
      <c r="C98" s="73">
        <v>0</v>
      </c>
      <c r="D98" s="15">
        <v>74</v>
      </c>
      <c r="E98" s="15"/>
      <c r="F98" s="15"/>
      <c r="G98" s="15"/>
    </row>
    <row r="99" spans="1:7" x14ac:dyDescent="0.2">
      <c r="A99" s="58" t="s">
        <v>157</v>
      </c>
      <c r="B99" s="58"/>
      <c r="C99" s="74">
        <v>0</v>
      </c>
      <c r="D99" s="58">
        <v>722</v>
      </c>
      <c r="E99" s="58"/>
      <c r="F99" s="58"/>
      <c r="G99" s="58"/>
    </row>
    <row r="100" spans="1:7" x14ac:dyDescent="0.2">
      <c r="A100" s="15" t="s">
        <v>219</v>
      </c>
      <c r="B100" s="15"/>
      <c r="C100" s="73">
        <v>0</v>
      </c>
      <c r="D100" s="15">
        <v>57</v>
      </c>
      <c r="E100" s="15"/>
      <c r="F100" s="15"/>
      <c r="G100" s="15"/>
    </row>
    <row r="101" spans="1:7" x14ac:dyDescent="0.2">
      <c r="A101" s="58" t="s">
        <v>204</v>
      </c>
      <c r="B101" s="58"/>
      <c r="C101" s="74">
        <v>36</v>
      </c>
      <c r="D101" s="58">
        <v>150</v>
      </c>
      <c r="E101" s="58"/>
      <c r="F101" s="58"/>
      <c r="G101" s="58"/>
    </row>
    <row r="102" spans="1:7" x14ac:dyDescent="0.2">
      <c r="A102" s="15" t="s">
        <v>98</v>
      </c>
      <c r="B102" s="15"/>
      <c r="C102" s="73">
        <v>1</v>
      </c>
      <c r="D102" s="15">
        <v>5977</v>
      </c>
      <c r="E102" s="15"/>
      <c r="F102" s="15"/>
      <c r="G102" s="15"/>
    </row>
    <row r="103" spans="1:7" x14ac:dyDescent="0.2">
      <c r="A103" s="58" t="s">
        <v>176</v>
      </c>
      <c r="B103" s="58"/>
      <c r="C103" s="74">
        <v>147</v>
      </c>
      <c r="D103" s="58">
        <v>412</v>
      </c>
      <c r="E103" s="58"/>
      <c r="F103" s="58"/>
      <c r="G103" s="58"/>
    </row>
    <row r="104" spans="1:7" x14ac:dyDescent="0.2">
      <c r="A104" s="15" t="s">
        <v>185</v>
      </c>
      <c r="B104" s="15"/>
      <c r="C104" s="73">
        <v>10200</v>
      </c>
      <c r="D104" s="15">
        <v>330</v>
      </c>
      <c r="E104" s="15"/>
      <c r="F104" s="15"/>
      <c r="G104" s="15"/>
    </row>
    <row r="105" spans="1:7" x14ac:dyDescent="0.2">
      <c r="A105" s="58" t="s">
        <v>187</v>
      </c>
      <c r="B105" s="58"/>
      <c r="C105" s="74">
        <v>25</v>
      </c>
      <c r="D105" s="58">
        <v>310</v>
      </c>
      <c r="E105" s="58"/>
      <c r="F105" s="58"/>
      <c r="G105" s="58"/>
    </row>
    <row r="106" spans="1:7" x14ac:dyDescent="0.2">
      <c r="A106" s="15" t="s">
        <v>202</v>
      </c>
      <c r="B106" s="15"/>
      <c r="C106" s="73">
        <v>16</v>
      </c>
      <c r="D106" s="15">
        <v>178</v>
      </c>
      <c r="E106" s="15"/>
      <c r="F106" s="15"/>
      <c r="G106" s="15"/>
    </row>
    <row r="107" spans="1:7" x14ac:dyDescent="0.2">
      <c r="A107" s="58" t="s">
        <v>99</v>
      </c>
      <c r="B107" s="58"/>
      <c r="C107" s="74">
        <v>1</v>
      </c>
      <c r="D107" s="58">
        <v>5901</v>
      </c>
      <c r="E107" s="58"/>
      <c r="F107" s="58"/>
      <c r="G107" s="58"/>
    </row>
    <row r="108" spans="1:7" x14ac:dyDescent="0.2">
      <c r="A108" s="15" t="s">
        <v>214</v>
      </c>
      <c r="B108" s="15"/>
      <c r="C108" s="73">
        <v>35</v>
      </c>
      <c r="D108" s="15">
        <v>72</v>
      </c>
      <c r="E108" s="15"/>
      <c r="F108" s="15"/>
      <c r="G108" s="15"/>
    </row>
    <row r="109" spans="1:7" x14ac:dyDescent="0.2">
      <c r="A109" s="58" t="s">
        <v>84</v>
      </c>
      <c r="B109" s="58"/>
      <c r="C109" s="74">
        <v>24</v>
      </c>
      <c r="D109" s="58">
        <v>4142</v>
      </c>
      <c r="E109" s="58"/>
      <c r="F109" s="58"/>
      <c r="G109" s="58"/>
    </row>
    <row r="110" spans="1:7" x14ac:dyDescent="0.2">
      <c r="A110" s="15" t="s">
        <v>110</v>
      </c>
      <c r="B110" s="15"/>
      <c r="C110" s="73">
        <v>0</v>
      </c>
      <c r="D110" s="15">
        <v>3142</v>
      </c>
      <c r="E110" s="15"/>
      <c r="F110" s="15"/>
      <c r="G110" s="15"/>
    </row>
    <row r="111" spans="1:7" x14ac:dyDescent="0.2">
      <c r="A111" s="58" t="s">
        <v>88</v>
      </c>
      <c r="B111" s="58"/>
      <c r="C111" s="74">
        <v>354</v>
      </c>
      <c r="D111" s="58">
        <v>1692</v>
      </c>
      <c r="E111" s="58"/>
      <c r="F111" s="58"/>
      <c r="G111" s="58"/>
    </row>
    <row r="112" spans="1:7" x14ac:dyDescent="0.2">
      <c r="A112" s="15" t="s">
        <v>149</v>
      </c>
      <c r="B112" s="15"/>
      <c r="C112" s="73">
        <v>12</v>
      </c>
      <c r="D112" s="15">
        <v>788</v>
      </c>
      <c r="E112" s="15"/>
      <c r="F112" s="15"/>
      <c r="G112" s="15"/>
    </row>
    <row r="113" spans="1:7" x14ac:dyDescent="0.2">
      <c r="A113" s="58" t="s">
        <v>127</v>
      </c>
      <c r="B113" s="58"/>
      <c r="C113" s="74">
        <v>52</v>
      </c>
      <c r="D113" s="58">
        <v>2248</v>
      </c>
      <c r="E113" s="58"/>
      <c r="F113" s="58"/>
      <c r="G113" s="58"/>
    </row>
    <row r="114" spans="1:7" x14ac:dyDescent="0.2">
      <c r="A114" s="15" t="s">
        <v>158</v>
      </c>
      <c r="B114" s="15"/>
      <c r="C114" s="73">
        <v>0</v>
      </c>
      <c r="D114" s="15">
        <v>720</v>
      </c>
      <c r="E114" s="15"/>
      <c r="F114" s="15"/>
      <c r="G114" s="15"/>
    </row>
    <row r="115" spans="1:7" x14ac:dyDescent="0.2">
      <c r="A115" s="58" t="s">
        <v>155</v>
      </c>
      <c r="B115" s="58"/>
      <c r="C115" s="74">
        <v>16</v>
      </c>
      <c r="D115" s="58">
        <v>740</v>
      </c>
      <c r="E115" s="58"/>
      <c r="F115" s="58"/>
      <c r="G115" s="58"/>
    </row>
    <row r="116" spans="1:7" x14ac:dyDescent="0.2">
      <c r="A116" s="15" t="s">
        <v>203</v>
      </c>
      <c r="B116" s="15"/>
      <c r="C116" s="73">
        <v>0</v>
      </c>
      <c r="D116" s="15">
        <v>176</v>
      </c>
      <c r="E116" s="15"/>
      <c r="F116" s="15"/>
      <c r="G116" s="15"/>
    </row>
    <row r="117" spans="1:7" x14ac:dyDescent="0.2">
      <c r="A117" s="58" t="s">
        <v>245</v>
      </c>
      <c r="B117" s="58"/>
      <c r="C117" s="74">
        <v>0</v>
      </c>
      <c r="D117" s="58">
        <v>8</v>
      </c>
      <c r="E117" s="58"/>
      <c r="F117" s="58"/>
      <c r="G117" s="58"/>
    </row>
    <row r="118" spans="1:7" x14ac:dyDescent="0.2">
      <c r="A118" s="15" t="s">
        <v>133</v>
      </c>
      <c r="B118" s="15"/>
      <c r="C118" s="73">
        <v>0</v>
      </c>
      <c r="D118" s="15">
        <v>1580</v>
      </c>
      <c r="E118" s="15"/>
      <c r="F118" s="15"/>
      <c r="G118" s="15"/>
    </row>
    <row r="119" spans="1:7" x14ac:dyDescent="0.2">
      <c r="A119" s="58" t="s">
        <v>169</v>
      </c>
      <c r="B119" s="58"/>
      <c r="C119" s="74">
        <v>132</v>
      </c>
      <c r="D119" s="58">
        <v>552</v>
      </c>
      <c r="E119" s="58"/>
      <c r="F119" s="58"/>
      <c r="G119" s="58"/>
    </row>
    <row r="120" spans="1:7" x14ac:dyDescent="0.2">
      <c r="A120" s="15" t="s">
        <v>122</v>
      </c>
      <c r="B120" s="15"/>
      <c r="C120" s="73">
        <v>0</v>
      </c>
      <c r="D120" s="15">
        <v>2478</v>
      </c>
      <c r="E120" s="15"/>
      <c r="F120" s="15"/>
      <c r="G120" s="15"/>
    </row>
    <row r="121" spans="1:7" x14ac:dyDescent="0.2">
      <c r="A121" s="58" t="s">
        <v>189</v>
      </c>
      <c r="B121" s="58"/>
      <c r="C121" s="74">
        <v>4</v>
      </c>
      <c r="D121" s="58">
        <v>300</v>
      </c>
      <c r="E121" s="58"/>
      <c r="F121" s="58"/>
      <c r="G121" s="58"/>
    </row>
    <row r="122" spans="1:7" x14ac:dyDescent="0.2">
      <c r="A122" s="15" t="s">
        <v>178</v>
      </c>
      <c r="B122" s="15"/>
      <c r="C122" s="73">
        <v>0</v>
      </c>
      <c r="D122" s="15">
        <v>396</v>
      </c>
      <c r="E122" s="15"/>
      <c r="F122" s="15"/>
      <c r="G122" s="15"/>
    </row>
    <row r="123" spans="1:7" x14ac:dyDescent="0.2">
      <c r="A123" s="58" t="s">
        <v>232</v>
      </c>
      <c r="B123" s="58"/>
      <c r="C123" s="74">
        <v>8</v>
      </c>
      <c r="D123" s="58">
        <v>24</v>
      </c>
      <c r="E123" s="58"/>
      <c r="F123" s="58"/>
      <c r="G123" s="58"/>
    </row>
    <row r="124" spans="1:7" x14ac:dyDescent="0.2">
      <c r="A124" s="15" t="s">
        <v>207</v>
      </c>
      <c r="B124" s="15"/>
      <c r="C124" s="73">
        <v>0</v>
      </c>
      <c r="D124" s="15">
        <v>112</v>
      </c>
      <c r="E124" s="15"/>
      <c r="F124" s="15"/>
      <c r="G124" s="15"/>
    </row>
    <row r="125" spans="1:7" x14ac:dyDescent="0.2">
      <c r="A125" s="58" t="s">
        <v>105</v>
      </c>
      <c r="B125" s="58"/>
      <c r="C125" s="74">
        <v>0</v>
      </c>
      <c r="D125" s="58">
        <v>4312</v>
      </c>
      <c r="E125" s="58"/>
      <c r="F125" s="58"/>
      <c r="G125" s="58"/>
    </row>
    <row r="126" spans="1:7" x14ac:dyDescent="0.2">
      <c r="A126" s="15" t="s">
        <v>186</v>
      </c>
      <c r="B126" s="15"/>
      <c r="C126" s="73">
        <v>200</v>
      </c>
      <c r="D126" s="15">
        <v>316</v>
      </c>
      <c r="E126" s="15"/>
      <c r="F126" s="15"/>
      <c r="G126" s="15"/>
    </row>
    <row r="127" spans="1:7" x14ac:dyDescent="0.2">
      <c r="A127" s="58" t="s">
        <v>102</v>
      </c>
      <c r="B127" s="58"/>
      <c r="C127" s="74">
        <v>0</v>
      </c>
      <c r="D127" s="58">
        <v>5228</v>
      </c>
      <c r="E127" s="58"/>
      <c r="F127" s="58"/>
      <c r="G127" s="58"/>
    </row>
    <row r="128" spans="1:7" x14ac:dyDescent="0.2">
      <c r="A128" s="15" t="s">
        <v>216</v>
      </c>
      <c r="B128" s="15"/>
      <c r="C128" s="73">
        <v>60</v>
      </c>
      <c r="D128" s="15">
        <v>64</v>
      </c>
      <c r="E128" s="15"/>
      <c r="F128" s="15"/>
      <c r="G128" s="15"/>
    </row>
    <row r="129" spans="1:7" x14ac:dyDescent="0.2">
      <c r="A129" s="58" t="s">
        <v>116</v>
      </c>
      <c r="B129" s="58"/>
      <c r="C129" s="74">
        <v>0</v>
      </c>
      <c r="D129" s="58">
        <v>2650</v>
      </c>
      <c r="E129" s="58"/>
      <c r="F129" s="58"/>
      <c r="G129" s="58"/>
    </row>
    <row r="130" spans="1:7" x14ac:dyDescent="0.2">
      <c r="A130" s="15" t="s">
        <v>239</v>
      </c>
      <c r="B130" s="15"/>
      <c r="C130" s="73">
        <v>0</v>
      </c>
      <c r="D130" s="15">
        <v>16</v>
      </c>
      <c r="E130" s="15"/>
      <c r="F130" s="15"/>
      <c r="G130" s="15"/>
    </row>
    <row r="131" spans="1:7" x14ac:dyDescent="0.2">
      <c r="A131" s="58" t="s">
        <v>128</v>
      </c>
      <c r="B131" s="58"/>
      <c r="C131" s="74">
        <v>0</v>
      </c>
      <c r="D131" s="58">
        <v>2104</v>
      </c>
      <c r="E131" s="58"/>
      <c r="F131" s="58"/>
      <c r="G131" s="58"/>
    </row>
    <row r="132" spans="1:7" x14ac:dyDescent="0.2">
      <c r="A132" s="15" t="s">
        <v>159</v>
      </c>
      <c r="B132" s="15"/>
      <c r="C132" s="73">
        <v>0</v>
      </c>
      <c r="D132" s="15">
        <v>718</v>
      </c>
      <c r="E132" s="15"/>
      <c r="F132" s="15"/>
      <c r="G132" s="15"/>
    </row>
    <row r="133" spans="1:7" x14ac:dyDescent="0.2">
      <c r="A133" s="58" t="s">
        <v>93</v>
      </c>
      <c r="B133" s="58"/>
      <c r="C133" s="74">
        <v>2380</v>
      </c>
      <c r="D133" s="58">
        <v>892</v>
      </c>
      <c r="E133" s="58"/>
      <c r="F133" s="58"/>
      <c r="G133" s="58"/>
    </row>
    <row r="134" spans="1:7" x14ac:dyDescent="0.2">
      <c r="A134" s="15" t="s">
        <v>106</v>
      </c>
      <c r="B134" s="15"/>
      <c r="C134" s="73">
        <v>0</v>
      </c>
      <c r="D134" s="15">
        <v>3910</v>
      </c>
      <c r="E134" s="15"/>
      <c r="F134" s="15"/>
      <c r="G134" s="15"/>
    </row>
    <row r="135" spans="1:7" x14ac:dyDescent="0.2">
      <c r="A135" s="58" t="s">
        <v>206</v>
      </c>
      <c r="B135" s="58"/>
      <c r="C135" s="74">
        <v>4</v>
      </c>
      <c r="D135" s="58">
        <v>124</v>
      </c>
      <c r="E135" s="58"/>
      <c r="F135" s="58"/>
      <c r="G135" s="58"/>
    </row>
    <row r="136" spans="1:7" x14ac:dyDescent="0.2">
      <c r="A136" s="15" t="s">
        <v>181</v>
      </c>
      <c r="B136" s="15"/>
      <c r="C136" s="73">
        <v>0</v>
      </c>
      <c r="D136" s="15">
        <v>372</v>
      </c>
      <c r="E136" s="15"/>
      <c r="F136" s="15"/>
      <c r="G136" s="15"/>
    </row>
    <row r="137" spans="1:7" x14ac:dyDescent="0.2">
      <c r="A137" s="58" t="s">
        <v>101</v>
      </c>
      <c r="B137" s="58"/>
      <c r="C137" s="74">
        <v>0</v>
      </c>
      <c r="D137" s="58">
        <v>5240</v>
      </c>
      <c r="E137" s="58"/>
      <c r="F137" s="58"/>
      <c r="G137" s="58"/>
    </row>
    <row r="138" spans="1:7" x14ac:dyDescent="0.2">
      <c r="A138" s="15" t="s">
        <v>197</v>
      </c>
      <c r="B138" s="15"/>
      <c r="C138" s="73">
        <v>0</v>
      </c>
      <c r="D138" s="15">
        <v>192</v>
      </c>
      <c r="E138" s="15"/>
      <c r="F138" s="15"/>
      <c r="G138" s="15"/>
    </row>
    <row r="139" spans="1:7" x14ac:dyDescent="0.2">
      <c r="A139" s="58" t="s">
        <v>226</v>
      </c>
      <c r="B139" s="58"/>
      <c r="C139" s="74">
        <v>0</v>
      </c>
      <c r="D139" s="58">
        <v>40</v>
      </c>
      <c r="E139" s="58"/>
      <c r="F139" s="58"/>
      <c r="G139" s="58"/>
    </row>
    <row r="140" spans="1:7" x14ac:dyDescent="0.2">
      <c r="A140" s="15" t="s">
        <v>231</v>
      </c>
      <c r="B140" s="15"/>
      <c r="C140" s="73">
        <v>0</v>
      </c>
      <c r="D140" s="15">
        <v>26</v>
      </c>
      <c r="E140" s="15"/>
      <c r="F140" s="15"/>
      <c r="G140" s="15"/>
    </row>
    <row r="141" spans="1:7" x14ac:dyDescent="0.2">
      <c r="A141" s="58" t="s">
        <v>230</v>
      </c>
      <c r="B141" s="58"/>
      <c r="C141" s="74">
        <v>0</v>
      </c>
      <c r="D141" s="58">
        <v>28</v>
      </c>
      <c r="E141" s="58"/>
      <c r="F141" s="58"/>
      <c r="G141" s="58"/>
    </row>
    <row r="142" spans="1:7" x14ac:dyDescent="0.2">
      <c r="A142" s="15" t="s">
        <v>104</v>
      </c>
      <c r="B142" s="15"/>
      <c r="C142" s="73">
        <v>0</v>
      </c>
      <c r="D142" s="15">
        <v>4742</v>
      </c>
      <c r="E142" s="15"/>
      <c r="F142" s="15"/>
      <c r="G142" s="15"/>
    </row>
    <row r="143" spans="1:7" x14ac:dyDescent="0.2">
      <c r="A143" s="58" t="s">
        <v>194</v>
      </c>
      <c r="B143" s="58"/>
      <c r="C143" s="74">
        <v>216</v>
      </c>
      <c r="D143" s="58">
        <v>256</v>
      </c>
      <c r="E143" s="58"/>
      <c r="F143" s="58"/>
      <c r="G143" s="58"/>
    </row>
    <row r="144" spans="1:7" x14ac:dyDescent="0.2">
      <c r="A144" s="15" t="s">
        <v>153</v>
      </c>
      <c r="B144" s="15"/>
      <c r="C144" s="73">
        <v>0</v>
      </c>
      <c r="D144" s="15">
        <v>760</v>
      </c>
      <c r="E144" s="15"/>
      <c r="F144" s="15"/>
      <c r="G144" s="15"/>
    </row>
    <row r="145" spans="1:7" x14ac:dyDescent="0.2">
      <c r="A145" s="58" t="s">
        <v>96</v>
      </c>
      <c r="B145" s="58"/>
      <c r="C145" s="74">
        <v>0</v>
      </c>
      <c r="D145" s="58">
        <v>9846</v>
      </c>
      <c r="E145" s="58"/>
      <c r="F145" s="58"/>
      <c r="G145" s="58"/>
    </row>
    <row r="146" spans="1:7" x14ac:dyDescent="0.2">
      <c r="A146" s="15" t="s">
        <v>107</v>
      </c>
      <c r="B146" s="15"/>
      <c r="C146" s="73">
        <v>0</v>
      </c>
      <c r="D146" s="15">
        <v>3844</v>
      </c>
      <c r="E146" s="15"/>
      <c r="F146" s="15"/>
      <c r="G146" s="15"/>
    </row>
    <row r="147" spans="1:7" x14ac:dyDescent="0.2">
      <c r="A147" s="58" t="s">
        <v>92</v>
      </c>
      <c r="B147" s="58"/>
      <c r="C147" s="74">
        <v>420</v>
      </c>
      <c r="D147" s="58">
        <v>1088</v>
      </c>
      <c r="E147" s="58"/>
      <c r="F147" s="58"/>
      <c r="G147" s="58"/>
    </row>
    <row r="148" spans="1:7" x14ac:dyDescent="0.2">
      <c r="A148" s="15" t="s">
        <v>198</v>
      </c>
      <c r="B148" s="15"/>
      <c r="C148" s="73">
        <v>0</v>
      </c>
      <c r="D148" s="15">
        <v>190</v>
      </c>
      <c r="E148" s="15"/>
      <c r="F148" s="15"/>
      <c r="G148" s="15"/>
    </row>
    <row r="149" spans="1:7" x14ac:dyDescent="0.2">
      <c r="A149" s="58" t="s">
        <v>215</v>
      </c>
      <c r="B149" s="58"/>
      <c r="C149" s="74">
        <v>0</v>
      </c>
      <c r="D149" s="58">
        <v>72</v>
      </c>
      <c r="E149" s="58"/>
      <c r="F149" s="58"/>
      <c r="G149" s="58"/>
    </row>
    <row r="150" spans="1:7" x14ac:dyDescent="0.2">
      <c r="A150" s="15" t="s">
        <v>247</v>
      </c>
      <c r="B150" s="15"/>
      <c r="C150" s="73">
        <v>0</v>
      </c>
      <c r="D150" s="15">
        <v>4</v>
      </c>
      <c r="E150" s="15"/>
      <c r="F150" s="15"/>
      <c r="G150" s="15"/>
    </row>
    <row r="151" spans="1:7" x14ac:dyDescent="0.2">
      <c r="A151" s="58" t="s">
        <v>141</v>
      </c>
      <c r="B151" s="58"/>
      <c r="C151" s="74">
        <v>0</v>
      </c>
      <c r="D151" s="58">
        <v>1060</v>
      </c>
      <c r="E151" s="58"/>
      <c r="F151" s="58"/>
      <c r="G151" s="58"/>
    </row>
    <row r="152" spans="1:7" x14ac:dyDescent="0.2">
      <c r="A152" s="15" t="s">
        <v>135</v>
      </c>
      <c r="B152" s="15"/>
      <c r="C152" s="73">
        <v>0</v>
      </c>
      <c r="D152" s="15">
        <v>1480</v>
      </c>
      <c r="E152" s="15"/>
      <c r="F152" s="15"/>
      <c r="G152" s="15"/>
    </row>
    <row r="153" spans="1:7" x14ac:dyDescent="0.2">
      <c r="A153" s="58" t="s">
        <v>229</v>
      </c>
      <c r="B153" s="58"/>
      <c r="C153" s="74">
        <v>8</v>
      </c>
      <c r="D153" s="58">
        <v>32</v>
      </c>
      <c r="E153" s="58"/>
      <c r="F153" s="58"/>
      <c r="G153" s="58"/>
    </row>
    <row r="154" spans="1:7" x14ac:dyDescent="0.2">
      <c r="A154" s="15" t="s">
        <v>124</v>
      </c>
      <c r="B154" s="15"/>
      <c r="C154" s="73">
        <v>0</v>
      </c>
      <c r="D154" s="15">
        <v>2414</v>
      </c>
      <c r="E154" s="15"/>
      <c r="F154" s="15"/>
      <c r="G154" s="15"/>
    </row>
    <row r="155" spans="1:7" x14ac:dyDescent="0.2">
      <c r="A155" s="58" t="s">
        <v>200</v>
      </c>
      <c r="B155" s="58"/>
      <c r="C155" s="74">
        <v>288</v>
      </c>
      <c r="D155" s="58">
        <v>180</v>
      </c>
      <c r="E155" s="58"/>
      <c r="F155" s="58"/>
      <c r="G155" s="58"/>
    </row>
    <row r="156" spans="1:7" x14ac:dyDescent="0.2">
      <c r="A156" s="15" t="s">
        <v>129</v>
      </c>
      <c r="B156" s="15"/>
      <c r="C156" s="73">
        <v>0</v>
      </c>
      <c r="D156" s="15">
        <v>2024</v>
      </c>
      <c r="E156" s="15"/>
      <c r="F156" s="15"/>
      <c r="G156" s="15"/>
    </row>
    <row r="157" spans="1:7" x14ac:dyDescent="0.2">
      <c r="A157" s="58" t="s">
        <v>248</v>
      </c>
      <c r="B157" s="58"/>
      <c r="C157" s="74">
        <v>0</v>
      </c>
      <c r="D157" s="58">
        <v>4</v>
      </c>
      <c r="E157" s="58"/>
      <c r="F157" s="58"/>
      <c r="G157" s="58"/>
    </row>
    <row r="158" spans="1:7" x14ac:dyDescent="0.2">
      <c r="A158" s="15" t="s">
        <v>144</v>
      </c>
      <c r="B158" s="15"/>
      <c r="C158" s="73">
        <v>0</v>
      </c>
      <c r="D158" s="15">
        <v>936</v>
      </c>
      <c r="E158" s="15"/>
      <c r="F158" s="15"/>
      <c r="G158" s="15"/>
    </row>
    <row r="159" spans="1:7" x14ac:dyDescent="0.2">
      <c r="A159" s="58" t="s">
        <v>242</v>
      </c>
      <c r="B159" s="58"/>
      <c r="C159" s="74">
        <v>0</v>
      </c>
      <c r="D159" s="58">
        <v>12</v>
      </c>
      <c r="E159" s="58"/>
      <c r="F159" s="58"/>
      <c r="G159" s="58"/>
    </row>
    <row r="160" spans="1:7" x14ac:dyDescent="0.2">
      <c r="A160" s="15" t="s">
        <v>112</v>
      </c>
      <c r="B160" s="15"/>
      <c r="C160" s="73">
        <v>0</v>
      </c>
      <c r="D160" s="15">
        <v>3008</v>
      </c>
      <c r="E160" s="15"/>
      <c r="F160" s="15"/>
      <c r="G160" s="15"/>
    </row>
    <row r="161" spans="1:7" x14ac:dyDescent="0.2">
      <c r="A161" s="58" t="s">
        <v>249</v>
      </c>
      <c r="B161" s="58"/>
      <c r="C161" s="74">
        <v>0</v>
      </c>
      <c r="D161" s="58">
        <v>4</v>
      </c>
      <c r="E161" s="58"/>
      <c r="F161" s="58"/>
      <c r="G161" s="58"/>
    </row>
    <row r="162" spans="1:7" x14ac:dyDescent="0.2">
      <c r="A162" s="15" t="s">
        <v>152</v>
      </c>
      <c r="B162" s="15"/>
      <c r="C162" s="73">
        <v>0</v>
      </c>
      <c r="D162" s="15">
        <v>764</v>
      </c>
      <c r="E162" s="15"/>
      <c r="F162" s="15"/>
      <c r="G162" s="15"/>
    </row>
    <row r="163" spans="1:7" x14ac:dyDescent="0.2">
      <c r="A163" s="58" t="s">
        <v>205</v>
      </c>
      <c r="B163" s="58"/>
      <c r="C163" s="74">
        <v>32768</v>
      </c>
      <c r="D163" s="58">
        <v>144</v>
      </c>
      <c r="E163" s="58"/>
      <c r="F163" s="58"/>
      <c r="G163" s="58"/>
    </row>
    <row r="164" spans="1:7" x14ac:dyDescent="0.2">
      <c r="A164" s="15" t="s">
        <v>100</v>
      </c>
      <c r="B164" s="15"/>
      <c r="C164" s="73">
        <v>0</v>
      </c>
      <c r="D164" s="15">
        <v>5842</v>
      </c>
      <c r="E164" s="15"/>
      <c r="F164" s="15"/>
      <c r="G164" s="15"/>
    </row>
    <row r="165" spans="1:7" x14ac:dyDescent="0.2">
      <c r="A165" s="58" t="s">
        <v>90</v>
      </c>
      <c r="B165" s="58"/>
      <c r="C165" s="74">
        <v>728</v>
      </c>
      <c r="D165" s="58">
        <v>1252</v>
      </c>
      <c r="E165" s="58"/>
      <c r="F165" s="58"/>
      <c r="G165" s="58"/>
    </row>
    <row r="166" spans="1:7" x14ac:dyDescent="0.2">
      <c r="A166" s="15" t="s">
        <v>147</v>
      </c>
      <c r="B166" s="15"/>
      <c r="C166" s="73">
        <v>0</v>
      </c>
      <c r="D166" s="15">
        <v>822</v>
      </c>
      <c r="E166" s="15"/>
      <c r="F166" s="15"/>
      <c r="G166" s="15"/>
    </row>
    <row r="167" spans="1:7" x14ac:dyDescent="0.2">
      <c r="A167" s="58" t="s">
        <v>143</v>
      </c>
      <c r="B167" s="58"/>
      <c r="C167" s="74">
        <v>0</v>
      </c>
      <c r="D167" s="58">
        <v>1008</v>
      </c>
      <c r="E167" s="58"/>
      <c r="F167" s="58"/>
      <c r="G167" s="58"/>
    </row>
    <row r="168" spans="1:7" x14ac:dyDescent="0.2">
      <c r="A168" s="15" t="s">
        <v>154</v>
      </c>
      <c r="B168" s="15"/>
      <c r="C168" s="73">
        <v>0</v>
      </c>
      <c r="D168" s="15">
        <v>746</v>
      </c>
      <c r="E168" s="15"/>
      <c r="F168" s="15"/>
      <c r="G168" s="15"/>
    </row>
    <row r="169" spans="1:7" x14ac:dyDescent="0.2">
      <c r="A169" s="58" t="s">
        <v>95</v>
      </c>
      <c r="B169" s="58"/>
      <c r="C169" s="74">
        <v>0</v>
      </c>
      <c r="D169" s="58">
        <v>12800</v>
      </c>
      <c r="E169" s="58"/>
      <c r="F169" s="58"/>
      <c r="G169" s="58"/>
    </row>
    <row r="170" spans="1:7" x14ac:dyDescent="0.2">
      <c r="A170" s="15" t="s">
        <v>132</v>
      </c>
      <c r="B170" s="15"/>
      <c r="C170" s="73">
        <v>0</v>
      </c>
      <c r="D170" s="15">
        <v>1760</v>
      </c>
      <c r="E170" s="15"/>
      <c r="F170" s="15"/>
      <c r="G170" s="15"/>
    </row>
    <row r="171" spans="1:7" x14ac:dyDescent="0.2">
      <c r="A171" s="58" t="s">
        <v>250</v>
      </c>
      <c r="B171" s="58"/>
      <c r="C171" s="74">
        <v>0</v>
      </c>
      <c r="D171" s="58">
        <v>4</v>
      </c>
      <c r="E171" s="58"/>
      <c r="F171" s="58"/>
      <c r="G171" s="58"/>
    </row>
    <row r="172" spans="1:7" x14ac:dyDescent="0.2">
      <c r="A172" s="15" t="s">
        <v>210</v>
      </c>
      <c r="B172" s="15"/>
      <c r="C172" s="73">
        <v>4</v>
      </c>
      <c r="D172" s="15">
        <v>90</v>
      </c>
      <c r="E172" s="15"/>
      <c r="F172" s="15"/>
      <c r="G172" s="15"/>
    </row>
    <row r="173" spans="1:7" x14ac:dyDescent="0.2">
      <c r="A173" s="58" t="s">
        <v>78</v>
      </c>
      <c r="B173" s="58"/>
      <c r="C173" s="74">
        <v>4</v>
      </c>
      <c r="D173" s="58">
        <v>25822</v>
      </c>
      <c r="E173" s="58"/>
      <c r="F173" s="58"/>
      <c r="G173" s="58"/>
    </row>
    <row r="174" spans="1:7" x14ac:dyDescent="0.2">
      <c r="A174" s="15" t="s">
        <v>156</v>
      </c>
      <c r="B174" s="15"/>
      <c r="C174" s="73">
        <v>1</v>
      </c>
      <c r="D174" s="15">
        <v>728</v>
      </c>
      <c r="E174" s="15"/>
      <c r="F174" s="15"/>
      <c r="G174" s="15"/>
    </row>
    <row r="175" spans="1:7" x14ac:dyDescent="0.2">
      <c r="A175" s="58" t="s">
        <v>71</v>
      </c>
      <c r="B175" s="58"/>
      <c r="C175" s="74">
        <v>143384</v>
      </c>
      <c r="D175" s="58">
        <v>91180</v>
      </c>
      <c r="E175" s="58"/>
      <c r="F175" s="58"/>
      <c r="G175" s="58"/>
    </row>
    <row r="176" spans="1:7" x14ac:dyDescent="0.2">
      <c r="A176" s="15" t="s">
        <v>80</v>
      </c>
      <c r="B176" s="15"/>
      <c r="C176" s="73">
        <v>405</v>
      </c>
      <c r="D176" s="15">
        <v>9971</v>
      </c>
      <c r="E176" s="15"/>
      <c r="F176" s="15"/>
      <c r="G176" s="15"/>
    </row>
    <row r="177" spans="1:7" x14ac:dyDescent="0.2">
      <c r="A177" s="58" t="s">
        <v>151</v>
      </c>
      <c r="B177" s="58"/>
      <c r="C177" s="74">
        <v>4</v>
      </c>
      <c r="D177" s="58">
        <v>770</v>
      </c>
      <c r="E177" s="58"/>
      <c r="F177" s="58"/>
      <c r="G177" s="58"/>
    </row>
    <row r="178" spans="1:7" x14ac:dyDescent="0.2">
      <c r="A178" s="15" t="s">
        <v>253</v>
      </c>
      <c r="B178" s="15"/>
      <c r="C178" s="73">
        <v>0</v>
      </c>
      <c r="D178" s="15">
        <v>2</v>
      </c>
      <c r="E178" s="15"/>
      <c r="F178" s="15"/>
      <c r="G178" s="15"/>
    </row>
    <row r="179" spans="1:7" x14ac:dyDescent="0.2">
      <c r="A179" s="58" t="s">
        <v>111</v>
      </c>
      <c r="B179" s="58"/>
      <c r="C179" s="74">
        <v>0</v>
      </c>
      <c r="D179" s="58">
        <v>3050</v>
      </c>
      <c r="E179" s="58"/>
      <c r="F179" s="58"/>
      <c r="G179" s="58"/>
    </row>
    <row r="180" spans="1:7" x14ac:dyDescent="0.2">
      <c r="A180" s="15" t="s">
        <v>220</v>
      </c>
      <c r="B180" s="15"/>
      <c r="C180" s="73">
        <v>0</v>
      </c>
      <c r="D180" s="15">
        <v>56</v>
      </c>
      <c r="E180" s="15"/>
      <c r="F180" s="15"/>
      <c r="G180" s="15"/>
    </row>
    <row r="181" spans="1:7" x14ac:dyDescent="0.2">
      <c r="A181" s="58" t="s">
        <v>252</v>
      </c>
      <c r="B181" s="58"/>
      <c r="C181" s="74">
        <v>7</v>
      </c>
      <c r="D181" s="58">
        <v>2</v>
      </c>
      <c r="E181" s="58"/>
      <c r="F181" s="58"/>
      <c r="G181" s="58"/>
    </row>
    <row r="182" spans="1:7" x14ac:dyDescent="0.2">
      <c r="A182" s="15" t="s">
        <v>175</v>
      </c>
      <c r="B182" s="15"/>
      <c r="C182" s="73">
        <v>0</v>
      </c>
      <c r="D182" s="15">
        <v>416</v>
      </c>
      <c r="E182" s="15"/>
      <c r="F182" s="15"/>
      <c r="G182" s="15"/>
    </row>
    <row r="183" spans="1:7" x14ac:dyDescent="0.2">
      <c r="A183" s="58" t="s">
        <v>160</v>
      </c>
      <c r="B183" s="58"/>
      <c r="C183" s="74">
        <v>0</v>
      </c>
      <c r="D183" s="58">
        <v>702</v>
      </c>
      <c r="E183" s="58"/>
      <c r="F183" s="58"/>
      <c r="G183" s="58"/>
    </row>
    <row r="184" spans="1:7" x14ac:dyDescent="0.2">
      <c r="A184" s="15" t="s">
        <v>168</v>
      </c>
      <c r="B184" s="15"/>
      <c r="C184" s="73">
        <v>0</v>
      </c>
      <c r="D184" s="15">
        <v>584</v>
      </c>
      <c r="E184" s="15"/>
      <c r="F184" s="15"/>
      <c r="G184" s="15"/>
    </row>
    <row r="185" spans="1:7" x14ac:dyDescent="0.2">
      <c r="A185" s="58" t="s">
        <v>140</v>
      </c>
      <c r="B185" s="58"/>
      <c r="C185" s="74">
        <v>224</v>
      </c>
      <c r="D185" s="58">
        <v>1076</v>
      </c>
      <c r="E185" s="58"/>
      <c r="F185" s="58"/>
      <c r="G185" s="58"/>
    </row>
    <row r="186" spans="1:7" x14ac:dyDescent="0.2">
      <c r="A186" s="15" t="s">
        <v>225</v>
      </c>
      <c r="B186" s="15"/>
      <c r="C186" s="73">
        <v>0</v>
      </c>
      <c r="D186" s="15">
        <v>42</v>
      </c>
      <c r="E186" s="15"/>
      <c r="F186" s="15"/>
      <c r="G186" s="15"/>
    </row>
    <row r="187" spans="1:7" x14ac:dyDescent="0.2">
      <c r="A187" s="58" t="s">
        <v>171</v>
      </c>
      <c r="B187" s="58"/>
      <c r="C187" s="74">
        <v>0</v>
      </c>
      <c r="D187" s="58">
        <v>465</v>
      </c>
      <c r="E187" s="58"/>
      <c r="F187" s="58"/>
      <c r="G187" s="58"/>
    </row>
    <row r="188" spans="1:7" x14ac:dyDescent="0.2">
      <c r="A188" s="15" t="s">
        <v>130</v>
      </c>
      <c r="B188" s="15"/>
      <c r="C188" s="73">
        <v>0</v>
      </c>
      <c r="D188" s="15">
        <v>1944</v>
      </c>
      <c r="E188" s="15"/>
      <c r="F188" s="15"/>
      <c r="G188" s="15"/>
    </row>
    <row r="189" spans="1:7" x14ac:dyDescent="0.2">
      <c r="A189" s="58" t="s">
        <v>195</v>
      </c>
      <c r="B189" s="58"/>
      <c r="C189" s="74">
        <v>0</v>
      </c>
      <c r="D189" s="58">
        <v>224</v>
      </c>
      <c r="E189" s="58"/>
      <c r="F189" s="58"/>
      <c r="G189" s="58"/>
    </row>
    <row r="190" spans="1:7" x14ac:dyDescent="0.2">
      <c r="A190" s="15" t="s">
        <v>237</v>
      </c>
      <c r="B190" s="15"/>
      <c r="C190" s="73">
        <v>0</v>
      </c>
      <c r="D190" s="15">
        <v>20</v>
      </c>
      <c r="E190" s="15"/>
      <c r="F190" s="15"/>
      <c r="G190" s="15"/>
    </row>
    <row r="191" spans="1:7" x14ac:dyDescent="0.2">
      <c r="A191" s="58" t="s">
        <v>123</v>
      </c>
      <c r="B191" s="58"/>
      <c r="C191" s="74">
        <v>8</v>
      </c>
      <c r="D191" s="58">
        <v>2446</v>
      </c>
      <c r="E191" s="58"/>
      <c r="F191" s="58"/>
      <c r="G191" s="58"/>
    </row>
    <row r="192" spans="1:7" x14ac:dyDescent="0.2">
      <c r="A192" s="15" t="s">
        <v>172</v>
      </c>
      <c r="B192" s="15"/>
      <c r="C192" s="73">
        <v>0</v>
      </c>
      <c r="D192" s="15">
        <v>450</v>
      </c>
      <c r="E192" s="15"/>
      <c r="F192" s="15"/>
      <c r="G192" s="15"/>
    </row>
    <row r="193" spans="1:7" x14ac:dyDescent="0.2">
      <c r="A193" s="58" t="s">
        <v>196</v>
      </c>
      <c r="B193" s="58"/>
      <c r="C193" s="74">
        <v>70</v>
      </c>
      <c r="D193" s="58">
        <v>222</v>
      </c>
      <c r="E193" s="58"/>
      <c r="F193" s="58"/>
      <c r="G193" s="58"/>
    </row>
    <row r="194" spans="1:7" x14ac:dyDescent="0.2">
      <c r="A194" s="15" t="s">
        <v>255</v>
      </c>
      <c r="B194" s="15"/>
      <c r="C194" s="73"/>
      <c r="D194" s="15">
        <v>2</v>
      </c>
      <c r="E194" s="15"/>
      <c r="F194" s="15"/>
      <c r="G194" s="15"/>
    </row>
    <row r="195" spans="1:7" x14ac:dyDescent="0.2">
      <c r="A195" s="58" t="s">
        <v>118</v>
      </c>
      <c r="B195" s="58"/>
      <c r="C195" s="74"/>
      <c r="D195" s="74">
        <v>131072</v>
      </c>
      <c r="E195" s="58"/>
      <c r="F195" s="58"/>
      <c r="G195" s="58"/>
    </row>
    <row r="196" spans="1:7" x14ac:dyDescent="0.2">
      <c r="A196" t="s">
        <v>40</v>
      </c>
      <c r="B196">
        <v>0</v>
      </c>
      <c r="C196">
        <f>SUM(C12:C195)</f>
        <v>241677</v>
      </c>
      <c r="D196" s="78">
        <f>SUM(D12:D195)</f>
        <v>1274021</v>
      </c>
      <c r="F196">
        <f>D195</f>
        <v>131072</v>
      </c>
      <c r="G196">
        <f>C196</f>
        <v>241677</v>
      </c>
    </row>
    <row r="353" spans="1:7" x14ac:dyDescent="0.2">
      <c r="A353" s="58" t="s">
        <v>118</v>
      </c>
      <c r="B353" s="58"/>
      <c r="C353" s="58">
        <v>0</v>
      </c>
      <c r="D353" s="74">
        <v>131072</v>
      </c>
      <c r="E353" s="58"/>
      <c r="F353" s="58"/>
      <c r="G353" s="58"/>
    </row>
    <row r="354" spans="1:7" x14ac:dyDescent="0.2">
      <c r="A354" t="s">
        <v>40</v>
      </c>
      <c r="B354">
        <v>0</v>
      </c>
      <c r="C354">
        <f>SUM(C170:C353)</f>
        <v>385788</v>
      </c>
      <c r="D354" s="78">
        <f>SUM(D170:D353)</f>
        <v>1678193</v>
      </c>
      <c r="F354">
        <f>D353</f>
        <v>131072</v>
      </c>
      <c r="G354">
        <f>C354</f>
        <v>385788</v>
      </c>
    </row>
  </sheetData>
  <mergeCells count="6">
    <mergeCell ref="A1:D1"/>
    <mergeCell ref="B4:C4"/>
    <mergeCell ref="B5:C5"/>
    <mergeCell ref="B6:G6"/>
    <mergeCell ref="B2:G2"/>
    <mergeCell ref="B3:G3"/>
  </mergeCells>
  <phoneticPr fontId="0" type="noConversion"/>
  <printOptions horizontalCentered="1"/>
  <pageMargins left="0.25" right="0.25" top="0.5" bottom="0.5" header="0" footer="0"/>
  <pageSetup paperSize="9" scale="84" fitToHeight="24" orientation="landscape"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Calculate_Memory">
                <anchor moveWithCells="1" sizeWithCells="1">
                  <from>
                    <xdr:col>3</xdr:col>
                    <xdr:colOff>333375</xdr:colOff>
                    <xdr:row>7</xdr:row>
                    <xdr:rowOff>28575</xdr:rowOff>
                  </from>
                  <to>
                    <xdr:col>4</xdr:col>
                    <xdr:colOff>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AJ192"/>
  <sheetViews>
    <sheetView zoomScaleNormal="100" workbookViewId="0">
      <pane ySplit="7" topLeftCell="A8" activePane="bottomLeft" state="frozen"/>
      <selection pane="bottomLeft" activeCell="A4" sqref="A4"/>
    </sheetView>
  </sheetViews>
  <sheetFormatPr defaultColWidth="11.42578125" defaultRowHeight="12.75" x14ac:dyDescent="0.2"/>
  <cols>
    <col min="1" max="1" width="34.140625" style="4" customWidth="1"/>
    <col min="2" max="2" width="61" style="4" customWidth="1"/>
    <col min="3" max="3" width="22.28515625" style="4" customWidth="1"/>
    <col min="4" max="4" width="40" style="4" customWidth="1"/>
    <col min="5" max="6" width="9.140625" style="4" customWidth="1"/>
    <col min="7" max="7" width="43.85546875" style="4" customWidth="1"/>
    <col min="8" max="256" width="9.140625" style="4" customWidth="1"/>
    <col min="257" max="16384" width="11.42578125" style="4"/>
  </cols>
  <sheetData>
    <row r="1" spans="1:36" ht="21.75" customHeight="1" x14ac:dyDescent="0.2">
      <c r="A1" s="120" t="s">
        <v>62</v>
      </c>
      <c r="B1" s="121"/>
    </row>
    <row r="2" spans="1:36" ht="31.5" customHeight="1" x14ac:dyDescent="0.2">
      <c r="A2" s="16"/>
      <c r="B2" s="44" t="s">
        <v>9</v>
      </c>
    </row>
    <row r="3" spans="1:36" x14ac:dyDescent="0.2">
      <c r="A3" s="18"/>
      <c r="B3" s="45" t="str">
        <f>Doc_Reference</f>
        <v>SDMR-SW-363.xls</v>
      </c>
    </row>
    <row r="4" spans="1:36" ht="12.75" customHeight="1" x14ac:dyDescent="0.2">
      <c r="A4" s="46" t="s">
        <v>262</v>
      </c>
      <c r="B4" s="44" t="s">
        <v>10</v>
      </c>
    </row>
    <row r="5" spans="1:36" ht="12.75" customHeight="1" x14ac:dyDescent="0.2">
      <c r="A5" s="47" t="str">
        <f>Project_Name</f>
        <v>SSE Process</v>
      </c>
      <c r="B5" s="45" t="str">
        <f>Approval_Resp</f>
        <v>Process CCB</v>
      </c>
    </row>
    <row r="6" spans="1:36" ht="49.5" customHeight="1" thickBot="1" x14ac:dyDescent="0.25">
      <c r="A6" s="22" t="s">
        <v>50</v>
      </c>
      <c r="B6" s="43" t="str">
        <f>Doc_Title</f>
        <v>TITLE: Software Delivery Memory Report Template</v>
      </c>
    </row>
    <row r="7" spans="1:36" s="2" customFormat="1" ht="56.25" customHeight="1" x14ac:dyDescent="0.2">
      <c r="A7" s="50" t="s">
        <v>4</v>
      </c>
      <c r="B7" s="50" t="s">
        <v>5</v>
      </c>
      <c r="C7" s="49"/>
      <c r="D7" s="57" t="s">
        <v>46</v>
      </c>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row>
    <row r="8" spans="1:36" x14ac:dyDescent="0.2">
      <c r="A8" s="8" t="s">
        <v>70</v>
      </c>
      <c r="B8" s="8" t="s">
        <v>41</v>
      </c>
      <c r="D8" s="3"/>
      <c r="E8" s="5"/>
    </row>
    <row r="9" spans="1:36" x14ac:dyDescent="0.2">
      <c r="A9" s="48" t="s">
        <v>71</v>
      </c>
      <c r="B9" s="48" t="s">
        <v>256</v>
      </c>
      <c r="C9" s="4" t="s">
        <v>41</v>
      </c>
      <c r="D9" s="6" t="s">
        <v>259</v>
      </c>
      <c r="E9" s="5"/>
    </row>
    <row r="10" spans="1:36" x14ac:dyDescent="0.2">
      <c r="A10" s="8" t="s">
        <v>72</v>
      </c>
      <c r="B10" s="8" t="s">
        <v>256</v>
      </c>
      <c r="C10" s="4" t="s">
        <v>42</v>
      </c>
      <c r="D10" s="6" t="s">
        <v>258</v>
      </c>
      <c r="E10" s="3"/>
    </row>
    <row r="11" spans="1:36" x14ac:dyDescent="0.2">
      <c r="A11" s="48" t="s">
        <v>73</v>
      </c>
      <c r="B11" s="48" t="s">
        <v>41</v>
      </c>
      <c r="C11" s="4" t="s">
        <v>43</v>
      </c>
      <c r="D11" s="6" t="s">
        <v>118</v>
      </c>
      <c r="E11" s="3"/>
    </row>
    <row r="12" spans="1:36" x14ac:dyDescent="0.2">
      <c r="A12" s="8" t="s">
        <v>74</v>
      </c>
      <c r="B12" s="8" t="s">
        <v>41</v>
      </c>
      <c r="D12" s="6"/>
      <c r="E12" s="5"/>
    </row>
    <row r="13" spans="1:36" x14ac:dyDescent="0.2">
      <c r="A13" s="48" t="s">
        <v>75</v>
      </c>
      <c r="B13" s="48" t="s">
        <v>41</v>
      </c>
      <c r="D13" s="6"/>
      <c r="E13" s="5"/>
    </row>
    <row r="14" spans="1:36" x14ac:dyDescent="0.2">
      <c r="A14" s="8" t="s">
        <v>76</v>
      </c>
      <c r="B14" s="8" t="s">
        <v>41</v>
      </c>
      <c r="D14" s="6"/>
    </row>
    <row r="15" spans="1:36" x14ac:dyDescent="0.2">
      <c r="A15" s="48" t="s">
        <v>77</v>
      </c>
      <c r="B15" s="48" t="s">
        <v>41</v>
      </c>
      <c r="D15" s="6"/>
    </row>
    <row r="16" spans="1:36" x14ac:dyDescent="0.2">
      <c r="A16" s="8" t="s">
        <v>78</v>
      </c>
      <c r="B16" s="8" t="s">
        <v>256</v>
      </c>
      <c r="D16" s="6"/>
    </row>
    <row r="17" spans="1:4" x14ac:dyDescent="0.2">
      <c r="A17" s="48" t="s">
        <v>79</v>
      </c>
      <c r="B17" s="48" t="s">
        <v>41</v>
      </c>
      <c r="D17" s="6"/>
    </row>
    <row r="18" spans="1:4" x14ac:dyDescent="0.2">
      <c r="A18" s="8" t="s">
        <v>80</v>
      </c>
      <c r="B18" s="8" t="s">
        <v>41</v>
      </c>
      <c r="D18" s="6"/>
    </row>
    <row r="19" spans="1:4" x14ac:dyDescent="0.2">
      <c r="A19" s="48" t="s">
        <v>81</v>
      </c>
      <c r="B19" s="48" t="s">
        <v>41</v>
      </c>
      <c r="D19" s="7"/>
    </row>
    <row r="20" spans="1:4" x14ac:dyDescent="0.2">
      <c r="A20" s="8" t="s">
        <v>82</v>
      </c>
      <c r="B20" s="8" t="s">
        <v>41</v>
      </c>
      <c r="D20" s="7"/>
    </row>
    <row r="21" spans="1:4" x14ac:dyDescent="0.2">
      <c r="A21" s="48" t="s">
        <v>83</v>
      </c>
      <c r="B21" s="48" t="s">
        <v>41</v>
      </c>
      <c r="D21" s="10"/>
    </row>
    <row r="22" spans="1:4" x14ac:dyDescent="0.2">
      <c r="A22" s="8" t="s">
        <v>84</v>
      </c>
      <c r="B22" s="8" t="s">
        <v>41</v>
      </c>
      <c r="D22" s="10"/>
    </row>
    <row r="23" spans="1:4" x14ac:dyDescent="0.2">
      <c r="A23" s="48" t="s">
        <v>85</v>
      </c>
      <c r="B23" s="48" t="s">
        <v>41</v>
      </c>
      <c r="D23" s="10"/>
    </row>
    <row r="24" spans="1:4" x14ac:dyDescent="0.2">
      <c r="A24" s="8" t="s">
        <v>86</v>
      </c>
      <c r="B24" s="8" t="s">
        <v>41</v>
      </c>
      <c r="D24" s="10"/>
    </row>
    <row r="25" spans="1:4" x14ac:dyDescent="0.2">
      <c r="A25" s="48" t="s">
        <v>87</v>
      </c>
      <c r="B25" s="48" t="s">
        <v>41</v>
      </c>
      <c r="D25" s="10"/>
    </row>
    <row r="26" spans="1:4" x14ac:dyDescent="0.2">
      <c r="A26" s="8" t="s">
        <v>88</v>
      </c>
      <c r="B26" s="8" t="s">
        <v>41</v>
      </c>
      <c r="D26" s="10"/>
    </row>
    <row r="27" spans="1:4" x14ac:dyDescent="0.2">
      <c r="A27" s="48" t="s">
        <v>89</v>
      </c>
      <c r="B27" s="48" t="s">
        <v>41</v>
      </c>
    </row>
    <row r="28" spans="1:4" x14ac:dyDescent="0.2">
      <c r="A28" s="8" t="s">
        <v>90</v>
      </c>
      <c r="B28" s="8" t="s">
        <v>41</v>
      </c>
    </row>
    <row r="29" spans="1:4" x14ac:dyDescent="0.2">
      <c r="A29" s="48" t="s">
        <v>91</v>
      </c>
      <c r="B29" s="48" t="s">
        <v>41</v>
      </c>
    </row>
    <row r="30" spans="1:4" x14ac:dyDescent="0.2">
      <c r="A30" s="8" t="s">
        <v>92</v>
      </c>
      <c r="B30" s="8" t="s">
        <v>41</v>
      </c>
    </row>
    <row r="31" spans="1:4" x14ac:dyDescent="0.2">
      <c r="A31" s="48" t="s">
        <v>93</v>
      </c>
      <c r="B31" s="48" t="s">
        <v>41</v>
      </c>
    </row>
    <row r="32" spans="1:4" x14ac:dyDescent="0.2">
      <c r="A32" s="8" t="s">
        <v>94</v>
      </c>
      <c r="B32" s="8" t="s">
        <v>41</v>
      </c>
    </row>
    <row r="33" spans="1:2" x14ac:dyDescent="0.2">
      <c r="A33" s="48" t="s">
        <v>95</v>
      </c>
      <c r="B33" s="48" t="s">
        <v>41</v>
      </c>
    </row>
    <row r="34" spans="1:2" x14ac:dyDescent="0.2">
      <c r="A34" s="8" t="s">
        <v>96</v>
      </c>
      <c r="B34" s="8" t="s">
        <v>41</v>
      </c>
    </row>
    <row r="35" spans="1:2" x14ac:dyDescent="0.2">
      <c r="A35" s="48" t="s">
        <v>97</v>
      </c>
      <c r="B35" s="48" t="s">
        <v>41</v>
      </c>
    </row>
    <row r="36" spans="1:2" x14ac:dyDescent="0.2">
      <c r="A36" s="8" t="s">
        <v>98</v>
      </c>
      <c r="B36" s="8" t="s">
        <v>41</v>
      </c>
    </row>
    <row r="37" spans="1:2" x14ac:dyDescent="0.2">
      <c r="A37" s="48" t="s">
        <v>99</v>
      </c>
      <c r="B37" s="48" t="s">
        <v>41</v>
      </c>
    </row>
    <row r="38" spans="1:2" x14ac:dyDescent="0.2">
      <c r="A38" s="8" t="s">
        <v>100</v>
      </c>
      <c r="B38" s="8" t="s">
        <v>41</v>
      </c>
    </row>
    <row r="39" spans="1:2" x14ac:dyDescent="0.2">
      <c r="A39" s="48" t="s">
        <v>101</v>
      </c>
      <c r="B39" s="48" t="s">
        <v>41</v>
      </c>
    </row>
    <row r="40" spans="1:2" x14ac:dyDescent="0.2">
      <c r="A40" s="8" t="s">
        <v>102</v>
      </c>
      <c r="B40" s="8" t="s">
        <v>41</v>
      </c>
    </row>
    <row r="41" spans="1:2" x14ac:dyDescent="0.2">
      <c r="A41" s="48" t="s">
        <v>103</v>
      </c>
      <c r="B41" s="48" t="s">
        <v>41</v>
      </c>
    </row>
    <row r="42" spans="1:2" x14ac:dyDescent="0.2">
      <c r="A42" s="8" t="s">
        <v>104</v>
      </c>
      <c r="B42" s="8" t="s">
        <v>41</v>
      </c>
    </row>
    <row r="43" spans="1:2" x14ac:dyDescent="0.2">
      <c r="A43" s="48" t="s">
        <v>105</v>
      </c>
      <c r="B43" s="48" t="s">
        <v>41</v>
      </c>
    </row>
    <row r="44" spans="1:2" x14ac:dyDescent="0.2">
      <c r="A44" s="8" t="s">
        <v>106</v>
      </c>
      <c r="B44" s="8" t="s">
        <v>41</v>
      </c>
    </row>
    <row r="45" spans="1:2" x14ac:dyDescent="0.2">
      <c r="A45" s="48" t="s">
        <v>107</v>
      </c>
      <c r="B45" s="48" t="s">
        <v>41</v>
      </c>
    </row>
    <row r="46" spans="1:2" x14ac:dyDescent="0.2">
      <c r="A46" s="8" t="s">
        <v>108</v>
      </c>
      <c r="B46" s="8" t="s">
        <v>41</v>
      </c>
    </row>
    <row r="47" spans="1:2" x14ac:dyDescent="0.2">
      <c r="A47" s="48" t="s">
        <v>109</v>
      </c>
      <c r="B47" s="48" t="s">
        <v>41</v>
      </c>
    </row>
    <row r="48" spans="1:2" x14ac:dyDescent="0.2">
      <c r="A48" s="8" t="s">
        <v>110</v>
      </c>
      <c r="B48" s="8" t="s">
        <v>41</v>
      </c>
    </row>
    <row r="49" spans="1:2" x14ac:dyDescent="0.2">
      <c r="A49" s="48" t="s">
        <v>111</v>
      </c>
      <c r="B49" s="48" t="s">
        <v>41</v>
      </c>
    </row>
    <row r="50" spans="1:2" x14ac:dyDescent="0.2">
      <c r="A50" s="8" t="s">
        <v>112</v>
      </c>
      <c r="B50" s="8" t="s">
        <v>41</v>
      </c>
    </row>
    <row r="51" spans="1:2" x14ac:dyDescent="0.2">
      <c r="A51" s="48" t="s">
        <v>113</v>
      </c>
      <c r="B51" s="48" t="s">
        <v>41</v>
      </c>
    </row>
    <row r="52" spans="1:2" x14ac:dyDescent="0.2">
      <c r="A52" s="8" t="s">
        <v>114</v>
      </c>
      <c r="B52" s="8" t="s">
        <v>41</v>
      </c>
    </row>
    <row r="53" spans="1:2" x14ac:dyDescent="0.2">
      <c r="A53" s="48" t="s">
        <v>115</v>
      </c>
      <c r="B53" s="48" t="s">
        <v>41</v>
      </c>
    </row>
    <row r="54" spans="1:2" x14ac:dyDescent="0.2">
      <c r="A54" s="8" t="s">
        <v>116</v>
      </c>
      <c r="B54" s="8" t="s">
        <v>41</v>
      </c>
    </row>
    <row r="55" spans="1:2" x14ac:dyDescent="0.2">
      <c r="A55" s="48" t="s">
        <v>117</v>
      </c>
      <c r="B55" s="48" t="s">
        <v>41</v>
      </c>
    </row>
    <row r="56" spans="1:2" x14ac:dyDescent="0.2">
      <c r="A56" s="8" t="s">
        <v>122</v>
      </c>
      <c r="B56" s="8" t="s">
        <v>41</v>
      </c>
    </row>
    <row r="57" spans="1:2" x14ac:dyDescent="0.2">
      <c r="A57" s="48" t="s">
        <v>123</v>
      </c>
      <c r="B57" s="48" t="s">
        <v>41</v>
      </c>
    </row>
    <row r="58" spans="1:2" x14ac:dyDescent="0.2">
      <c r="A58" s="8" t="s">
        <v>124</v>
      </c>
      <c r="B58" s="8" t="s">
        <v>41</v>
      </c>
    </row>
    <row r="59" spans="1:2" x14ac:dyDescent="0.2">
      <c r="A59" s="48" t="s">
        <v>125</v>
      </c>
      <c r="B59" s="48" t="s">
        <v>41</v>
      </c>
    </row>
    <row r="60" spans="1:2" x14ac:dyDescent="0.2">
      <c r="A60" s="8" t="s">
        <v>126</v>
      </c>
      <c r="B60" s="8" t="s">
        <v>41</v>
      </c>
    </row>
    <row r="61" spans="1:2" x14ac:dyDescent="0.2">
      <c r="A61" s="48" t="s">
        <v>127</v>
      </c>
      <c r="B61" s="48" t="s">
        <v>41</v>
      </c>
    </row>
    <row r="62" spans="1:2" x14ac:dyDescent="0.2">
      <c r="A62" s="8" t="s">
        <v>128</v>
      </c>
      <c r="B62" s="8" t="s">
        <v>41</v>
      </c>
    </row>
    <row r="63" spans="1:2" x14ac:dyDescent="0.2">
      <c r="A63" s="48" t="s">
        <v>129</v>
      </c>
      <c r="B63" s="48" t="s">
        <v>41</v>
      </c>
    </row>
    <row r="64" spans="1:2" x14ac:dyDescent="0.2">
      <c r="A64" s="8" t="s">
        <v>130</v>
      </c>
      <c r="B64" s="8" t="s">
        <v>41</v>
      </c>
    </row>
    <row r="65" spans="1:2" x14ac:dyDescent="0.2">
      <c r="A65" s="48" t="s">
        <v>131</v>
      </c>
      <c r="B65" s="48" t="s">
        <v>41</v>
      </c>
    </row>
    <row r="66" spans="1:2" x14ac:dyDescent="0.2">
      <c r="A66" s="8" t="s">
        <v>132</v>
      </c>
      <c r="B66" s="8" t="s">
        <v>41</v>
      </c>
    </row>
    <row r="67" spans="1:2" x14ac:dyDescent="0.2">
      <c r="A67" s="48" t="s">
        <v>133</v>
      </c>
      <c r="B67" s="48" t="s">
        <v>41</v>
      </c>
    </row>
    <row r="68" spans="1:2" x14ac:dyDescent="0.2">
      <c r="A68" s="8" t="s">
        <v>134</v>
      </c>
      <c r="B68" s="8" t="s">
        <v>41</v>
      </c>
    </row>
    <row r="69" spans="1:2" x14ac:dyDescent="0.2">
      <c r="A69" s="48" t="s">
        <v>135</v>
      </c>
      <c r="B69" s="48" t="s">
        <v>41</v>
      </c>
    </row>
    <row r="70" spans="1:2" x14ac:dyDescent="0.2">
      <c r="A70" s="8" t="s">
        <v>136</v>
      </c>
      <c r="B70" s="8" t="s">
        <v>41</v>
      </c>
    </row>
    <row r="71" spans="1:2" x14ac:dyDescent="0.2">
      <c r="A71" s="48" t="s">
        <v>137</v>
      </c>
      <c r="B71" s="48" t="s">
        <v>41</v>
      </c>
    </row>
    <row r="72" spans="1:2" x14ac:dyDescent="0.2">
      <c r="A72" s="8" t="s">
        <v>138</v>
      </c>
      <c r="B72" s="8" t="s">
        <v>41</v>
      </c>
    </row>
    <row r="73" spans="1:2" x14ac:dyDescent="0.2">
      <c r="A73" s="48" t="s">
        <v>139</v>
      </c>
      <c r="B73" s="48" t="s">
        <v>41</v>
      </c>
    </row>
    <row r="74" spans="1:2" x14ac:dyDescent="0.2">
      <c r="A74" s="8" t="s">
        <v>140</v>
      </c>
      <c r="B74" s="8" t="s">
        <v>41</v>
      </c>
    </row>
    <row r="75" spans="1:2" x14ac:dyDescent="0.2">
      <c r="A75" s="48" t="s">
        <v>141</v>
      </c>
      <c r="B75" s="48" t="s">
        <v>41</v>
      </c>
    </row>
    <row r="76" spans="1:2" x14ac:dyDescent="0.2">
      <c r="A76" s="8" t="s">
        <v>142</v>
      </c>
      <c r="B76" s="8" t="s">
        <v>41</v>
      </c>
    </row>
    <row r="77" spans="1:2" x14ac:dyDescent="0.2">
      <c r="A77" s="48" t="s">
        <v>143</v>
      </c>
      <c r="B77" s="48" t="s">
        <v>41</v>
      </c>
    </row>
    <row r="78" spans="1:2" x14ac:dyDescent="0.2">
      <c r="A78" s="8" t="s">
        <v>144</v>
      </c>
      <c r="B78" s="8" t="s">
        <v>41</v>
      </c>
    </row>
    <row r="79" spans="1:2" x14ac:dyDescent="0.2">
      <c r="A79" s="48" t="s">
        <v>145</v>
      </c>
      <c r="B79" s="48" t="s">
        <v>41</v>
      </c>
    </row>
    <row r="80" spans="1:2" x14ac:dyDescent="0.2">
      <c r="A80" s="8" t="s">
        <v>146</v>
      </c>
      <c r="B80" s="8" t="s">
        <v>41</v>
      </c>
    </row>
    <row r="81" spans="1:2" x14ac:dyDescent="0.2">
      <c r="A81" s="48" t="s">
        <v>147</v>
      </c>
      <c r="B81" s="48" t="s">
        <v>41</v>
      </c>
    </row>
    <row r="82" spans="1:2" x14ac:dyDescent="0.2">
      <c r="A82" s="8" t="s">
        <v>148</v>
      </c>
      <c r="B82" s="8" t="s">
        <v>41</v>
      </c>
    </row>
    <row r="83" spans="1:2" x14ac:dyDescent="0.2">
      <c r="A83" s="48" t="s">
        <v>149</v>
      </c>
      <c r="B83" s="48" t="s">
        <v>41</v>
      </c>
    </row>
    <row r="84" spans="1:2" x14ac:dyDescent="0.2">
      <c r="A84" s="8" t="s">
        <v>150</v>
      </c>
      <c r="B84" s="8" t="s">
        <v>41</v>
      </c>
    </row>
    <row r="85" spans="1:2" x14ac:dyDescent="0.2">
      <c r="A85" s="48" t="s">
        <v>151</v>
      </c>
      <c r="B85" s="48" t="s">
        <v>41</v>
      </c>
    </row>
    <row r="86" spans="1:2" x14ac:dyDescent="0.2">
      <c r="A86" s="8" t="s">
        <v>152</v>
      </c>
      <c r="B86" s="8" t="s">
        <v>41</v>
      </c>
    </row>
    <row r="87" spans="1:2" x14ac:dyDescent="0.2">
      <c r="A87" s="48" t="s">
        <v>153</v>
      </c>
      <c r="B87" s="48" t="s">
        <v>41</v>
      </c>
    </row>
    <row r="88" spans="1:2" x14ac:dyDescent="0.2">
      <c r="A88" s="8" t="s">
        <v>154</v>
      </c>
      <c r="B88" s="8" t="s">
        <v>41</v>
      </c>
    </row>
    <row r="89" spans="1:2" x14ac:dyDescent="0.2">
      <c r="A89" s="48" t="s">
        <v>155</v>
      </c>
      <c r="B89" s="48" t="s">
        <v>41</v>
      </c>
    </row>
    <row r="90" spans="1:2" x14ac:dyDescent="0.2">
      <c r="A90" s="8" t="s">
        <v>156</v>
      </c>
      <c r="B90" s="8" t="s">
        <v>256</v>
      </c>
    </row>
    <row r="91" spans="1:2" x14ac:dyDescent="0.2">
      <c r="A91" s="48" t="s">
        <v>157</v>
      </c>
      <c r="B91" s="48" t="s">
        <v>41</v>
      </c>
    </row>
    <row r="92" spans="1:2" x14ac:dyDescent="0.2">
      <c r="A92" s="8" t="s">
        <v>158</v>
      </c>
      <c r="B92" s="8" t="s">
        <v>41</v>
      </c>
    </row>
    <row r="93" spans="1:2" x14ac:dyDescent="0.2">
      <c r="A93" s="48" t="s">
        <v>159</v>
      </c>
      <c r="B93" s="48" t="s">
        <v>41</v>
      </c>
    </row>
    <row r="94" spans="1:2" x14ac:dyDescent="0.2">
      <c r="A94" s="8" t="s">
        <v>160</v>
      </c>
      <c r="B94" s="8" t="s">
        <v>41</v>
      </c>
    </row>
    <row r="95" spans="1:2" x14ac:dyDescent="0.2">
      <c r="A95" s="48" t="s">
        <v>161</v>
      </c>
      <c r="B95" s="48" t="s">
        <v>41</v>
      </c>
    </row>
    <row r="96" spans="1:2" x14ac:dyDescent="0.2">
      <c r="A96" s="8" t="s">
        <v>162</v>
      </c>
      <c r="B96" s="8" t="s">
        <v>41</v>
      </c>
    </row>
    <row r="97" spans="1:2" x14ac:dyDescent="0.2">
      <c r="A97" s="48" t="s">
        <v>163</v>
      </c>
      <c r="B97" s="48" t="s">
        <v>41</v>
      </c>
    </row>
    <row r="98" spans="1:2" x14ac:dyDescent="0.2">
      <c r="A98" s="8" t="s">
        <v>164</v>
      </c>
      <c r="B98" s="8" t="s">
        <v>41</v>
      </c>
    </row>
    <row r="99" spans="1:2" x14ac:dyDescent="0.2">
      <c r="A99" s="48" t="s">
        <v>165</v>
      </c>
      <c r="B99" s="48" t="s">
        <v>41</v>
      </c>
    </row>
    <row r="100" spans="1:2" x14ac:dyDescent="0.2">
      <c r="A100" s="8" t="s">
        <v>166</v>
      </c>
      <c r="B100" s="8" t="s">
        <v>41</v>
      </c>
    </row>
    <row r="101" spans="1:2" x14ac:dyDescent="0.2">
      <c r="A101" s="48" t="s">
        <v>167</v>
      </c>
      <c r="B101" s="48" t="s">
        <v>41</v>
      </c>
    </row>
    <row r="102" spans="1:2" x14ac:dyDescent="0.2">
      <c r="A102" s="8" t="s">
        <v>168</v>
      </c>
      <c r="B102" s="8" t="s">
        <v>41</v>
      </c>
    </row>
    <row r="103" spans="1:2" x14ac:dyDescent="0.2">
      <c r="A103" s="48" t="s">
        <v>169</v>
      </c>
      <c r="B103" s="48" t="s">
        <v>41</v>
      </c>
    </row>
    <row r="104" spans="1:2" x14ac:dyDescent="0.2">
      <c r="A104" s="8" t="s">
        <v>170</v>
      </c>
      <c r="B104" s="8" t="s">
        <v>41</v>
      </c>
    </row>
    <row r="105" spans="1:2" x14ac:dyDescent="0.2">
      <c r="A105" s="48" t="s">
        <v>171</v>
      </c>
      <c r="B105" s="48" t="s">
        <v>41</v>
      </c>
    </row>
    <row r="106" spans="1:2" x14ac:dyDescent="0.2">
      <c r="A106" s="8" t="s">
        <v>172</v>
      </c>
      <c r="B106" s="8" t="s">
        <v>41</v>
      </c>
    </row>
    <row r="107" spans="1:2" x14ac:dyDescent="0.2">
      <c r="A107" s="48" t="s">
        <v>173</v>
      </c>
      <c r="B107" s="48" t="s">
        <v>41</v>
      </c>
    </row>
    <row r="108" spans="1:2" x14ac:dyDescent="0.2">
      <c r="A108" s="8" t="s">
        <v>174</v>
      </c>
      <c r="B108" s="8" t="s">
        <v>41</v>
      </c>
    </row>
    <row r="109" spans="1:2" x14ac:dyDescent="0.2">
      <c r="A109" s="48" t="s">
        <v>175</v>
      </c>
      <c r="B109" s="48" t="s">
        <v>41</v>
      </c>
    </row>
    <row r="110" spans="1:2" x14ac:dyDescent="0.2">
      <c r="A110" s="8" t="s">
        <v>176</v>
      </c>
      <c r="B110" s="8" t="s">
        <v>41</v>
      </c>
    </row>
    <row r="111" spans="1:2" x14ac:dyDescent="0.2">
      <c r="A111" s="48" t="s">
        <v>177</v>
      </c>
      <c r="B111" s="48" t="s">
        <v>41</v>
      </c>
    </row>
    <row r="112" spans="1:2" x14ac:dyDescent="0.2">
      <c r="A112" s="8" t="s">
        <v>178</v>
      </c>
      <c r="B112" s="8" t="s">
        <v>41</v>
      </c>
    </row>
    <row r="113" spans="1:2" x14ac:dyDescent="0.2">
      <c r="A113" s="48" t="s">
        <v>179</v>
      </c>
      <c r="B113" s="48" t="s">
        <v>41</v>
      </c>
    </row>
    <row r="114" spans="1:2" x14ac:dyDescent="0.2">
      <c r="A114" s="8" t="s">
        <v>180</v>
      </c>
      <c r="B114" s="8" t="s">
        <v>41</v>
      </c>
    </row>
    <row r="115" spans="1:2" x14ac:dyDescent="0.2">
      <c r="A115" s="48" t="s">
        <v>181</v>
      </c>
      <c r="B115" s="48" t="s">
        <v>41</v>
      </c>
    </row>
    <row r="116" spans="1:2" x14ac:dyDescent="0.2">
      <c r="A116" s="8" t="s">
        <v>182</v>
      </c>
      <c r="B116" s="8" t="s">
        <v>41</v>
      </c>
    </row>
    <row r="117" spans="1:2" x14ac:dyDescent="0.2">
      <c r="A117" s="48" t="s">
        <v>183</v>
      </c>
      <c r="B117" s="48" t="s">
        <v>41</v>
      </c>
    </row>
    <row r="118" spans="1:2" x14ac:dyDescent="0.2">
      <c r="A118" s="8" t="s">
        <v>184</v>
      </c>
      <c r="B118" s="8" t="s">
        <v>41</v>
      </c>
    </row>
    <row r="119" spans="1:2" x14ac:dyDescent="0.2">
      <c r="A119" s="48" t="s">
        <v>185</v>
      </c>
      <c r="B119" s="48" t="s">
        <v>41</v>
      </c>
    </row>
    <row r="120" spans="1:2" x14ac:dyDescent="0.2">
      <c r="A120" s="8" t="s">
        <v>186</v>
      </c>
      <c r="B120" s="8" t="s">
        <v>41</v>
      </c>
    </row>
    <row r="121" spans="1:2" x14ac:dyDescent="0.2">
      <c r="A121" s="48" t="s">
        <v>187</v>
      </c>
      <c r="B121" s="48" t="s">
        <v>41</v>
      </c>
    </row>
    <row r="122" spans="1:2" x14ac:dyDescent="0.2">
      <c r="A122" s="8" t="s">
        <v>188</v>
      </c>
      <c r="B122" s="8" t="s">
        <v>41</v>
      </c>
    </row>
    <row r="123" spans="1:2" x14ac:dyDescent="0.2">
      <c r="A123" s="48" t="s">
        <v>189</v>
      </c>
      <c r="B123" s="48" t="s">
        <v>41</v>
      </c>
    </row>
    <row r="124" spans="1:2" x14ac:dyDescent="0.2">
      <c r="A124" s="8" t="s">
        <v>190</v>
      </c>
      <c r="B124" s="8" t="s">
        <v>41</v>
      </c>
    </row>
    <row r="125" spans="1:2" x14ac:dyDescent="0.2">
      <c r="A125" s="48" t="s">
        <v>191</v>
      </c>
      <c r="B125" s="48" t="s">
        <v>41</v>
      </c>
    </row>
    <row r="126" spans="1:2" x14ac:dyDescent="0.2">
      <c r="A126" s="8" t="s">
        <v>192</v>
      </c>
      <c r="B126" s="8" t="s">
        <v>41</v>
      </c>
    </row>
    <row r="127" spans="1:2" x14ac:dyDescent="0.2">
      <c r="A127" s="48" t="s">
        <v>193</v>
      </c>
      <c r="B127" s="48" t="s">
        <v>41</v>
      </c>
    </row>
    <row r="128" spans="1:2" x14ac:dyDescent="0.2">
      <c r="A128" s="8" t="s">
        <v>194</v>
      </c>
      <c r="B128" s="8" t="s">
        <v>41</v>
      </c>
    </row>
    <row r="129" spans="1:2" x14ac:dyDescent="0.2">
      <c r="A129" s="48" t="s">
        <v>195</v>
      </c>
      <c r="B129" s="48" t="s">
        <v>41</v>
      </c>
    </row>
    <row r="130" spans="1:2" x14ac:dyDescent="0.2">
      <c r="A130" s="8" t="s">
        <v>196</v>
      </c>
      <c r="B130" s="8" t="s">
        <v>41</v>
      </c>
    </row>
    <row r="131" spans="1:2" x14ac:dyDescent="0.2">
      <c r="A131" s="48" t="s">
        <v>197</v>
      </c>
      <c r="B131" s="48" t="s">
        <v>41</v>
      </c>
    </row>
    <row r="132" spans="1:2" x14ac:dyDescent="0.2">
      <c r="A132" s="8" t="s">
        <v>198</v>
      </c>
      <c r="B132" s="8" t="s">
        <v>41</v>
      </c>
    </row>
    <row r="133" spans="1:2" x14ac:dyDescent="0.2">
      <c r="A133" s="48" t="s">
        <v>199</v>
      </c>
      <c r="B133" s="48" t="s">
        <v>41</v>
      </c>
    </row>
    <row r="134" spans="1:2" x14ac:dyDescent="0.2">
      <c r="A134" s="8" t="s">
        <v>200</v>
      </c>
      <c r="B134" s="8" t="s">
        <v>41</v>
      </c>
    </row>
    <row r="135" spans="1:2" x14ac:dyDescent="0.2">
      <c r="A135" s="48" t="s">
        <v>201</v>
      </c>
      <c r="B135" s="48" t="s">
        <v>41</v>
      </c>
    </row>
    <row r="136" spans="1:2" x14ac:dyDescent="0.2">
      <c r="A136" s="8" t="s">
        <v>202</v>
      </c>
      <c r="B136" s="8" t="s">
        <v>41</v>
      </c>
    </row>
    <row r="137" spans="1:2" x14ac:dyDescent="0.2">
      <c r="A137" s="48" t="s">
        <v>203</v>
      </c>
      <c r="B137" s="48" t="s">
        <v>41</v>
      </c>
    </row>
    <row r="138" spans="1:2" x14ac:dyDescent="0.2">
      <c r="A138" s="8" t="s">
        <v>204</v>
      </c>
      <c r="B138" s="8" t="s">
        <v>41</v>
      </c>
    </row>
    <row r="139" spans="1:2" x14ac:dyDescent="0.2">
      <c r="A139" s="48" t="s">
        <v>205</v>
      </c>
      <c r="B139" s="48" t="s">
        <v>41</v>
      </c>
    </row>
    <row r="140" spans="1:2" x14ac:dyDescent="0.2">
      <c r="A140" s="8" t="s">
        <v>206</v>
      </c>
      <c r="B140" s="8" t="s">
        <v>41</v>
      </c>
    </row>
    <row r="141" spans="1:2" x14ac:dyDescent="0.2">
      <c r="A141" s="48" t="s">
        <v>207</v>
      </c>
      <c r="B141" s="48" t="s">
        <v>41</v>
      </c>
    </row>
    <row r="142" spans="1:2" x14ac:dyDescent="0.2">
      <c r="A142" s="8" t="s">
        <v>208</v>
      </c>
      <c r="B142" s="8" t="s">
        <v>41</v>
      </c>
    </row>
    <row r="143" spans="1:2" x14ac:dyDescent="0.2">
      <c r="A143" s="48" t="s">
        <v>209</v>
      </c>
      <c r="B143" s="48" t="s">
        <v>41</v>
      </c>
    </row>
    <row r="144" spans="1:2" x14ac:dyDescent="0.2">
      <c r="A144" s="8" t="s">
        <v>210</v>
      </c>
      <c r="B144" s="8" t="s">
        <v>41</v>
      </c>
    </row>
    <row r="145" spans="1:2" x14ac:dyDescent="0.2">
      <c r="A145" s="48" t="s">
        <v>211</v>
      </c>
      <c r="B145" s="48" t="s">
        <v>41</v>
      </c>
    </row>
    <row r="146" spans="1:2" x14ac:dyDescent="0.2">
      <c r="A146" s="8" t="s">
        <v>212</v>
      </c>
      <c r="B146" s="8" t="s">
        <v>41</v>
      </c>
    </row>
    <row r="147" spans="1:2" x14ac:dyDescent="0.2">
      <c r="A147" s="48" t="s">
        <v>213</v>
      </c>
      <c r="B147" s="48" t="s">
        <v>41</v>
      </c>
    </row>
    <row r="148" spans="1:2" x14ac:dyDescent="0.2">
      <c r="A148" s="8" t="s">
        <v>214</v>
      </c>
      <c r="B148" s="8" t="s">
        <v>41</v>
      </c>
    </row>
    <row r="149" spans="1:2" x14ac:dyDescent="0.2">
      <c r="A149" s="48" t="s">
        <v>215</v>
      </c>
      <c r="B149" s="48" t="s">
        <v>41</v>
      </c>
    </row>
    <row r="150" spans="1:2" x14ac:dyDescent="0.2">
      <c r="A150" s="8" t="s">
        <v>216</v>
      </c>
      <c r="B150" s="8" t="s">
        <v>41</v>
      </c>
    </row>
    <row r="151" spans="1:2" x14ac:dyDescent="0.2">
      <c r="A151" s="48" t="s">
        <v>217</v>
      </c>
      <c r="B151" s="48" t="s">
        <v>41</v>
      </c>
    </row>
    <row r="152" spans="1:2" x14ac:dyDescent="0.2">
      <c r="A152" s="8" t="s">
        <v>218</v>
      </c>
      <c r="B152" s="8" t="s">
        <v>41</v>
      </c>
    </row>
    <row r="153" spans="1:2" x14ac:dyDescent="0.2">
      <c r="A153" s="48" t="s">
        <v>219</v>
      </c>
      <c r="B153" s="48" t="s">
        <v>41</v>
      </c>
    </row>
    <row r="154" spans="1:2" x14ac:dyDescent="0.2">
      <c r="A154" s="8" t="s">
        <v>220</v>
      </c>
      <c r="B154" s="8" t="s">
        <v>41</v>
      </c>
    </row>
    <row r="155" spans="1:2" x14ac:dyDescent="0.2">
      <c r="A155" s="48" t="s">
        <v>221</v>
      </c>
      <c r="B155" s="48" t="s">
        <v>41</v>
      </c>
    </row>
    <row r="156" spans="1:2" x14ac:dyDescent="0.2">
      <c r="A156" s="8" t="s">
        <v>222</v>
      </c>
      <c r="B156" s="8" t="s">
        <v>41</v>
      </c>
    </row>
    <row r="157" spans="1:2" x14ac:dyDescent="0.2">
      <c r="A157" s="48" t="s">
        <v>223</v>
      </c>
      <c r="B157" s="48" t="s">
        <v>41</v>
      </c>
    </row>
    <row r="158" spans="1:2" x14ac:dyDescent="0.2">
      <c r="A158" s="8" t="s">
        <v>224</v>
      </c>
      <c r="B158" s="8" t="s">
        <v>41</v>
      </c>
    </row>
    <row r="159" spans="1:2" x14ac:dyDescent="0.2">
      <c r="A159" s="48" t="s">
        <v>225</v>
      </c>
      <c r="B159" s="48" t="s">
        <v>41</v>
      </c>
    </row>
    <row r="160" spans="1:2" x14ac:dyDescent="0.2">
      <c r="A160" s="8" t="s">
        <v>226</v>
      </c>
      <c r="B160" s="8" t="s">
        <v>41</v>
      </c>
    </row>
    <row r="161" spans="1:2" x14ac:dyDescent="0.2">
      <c r="A161" s="48" t="s">
        <v>227</v>
      </c>
      <c r="B161" s="48" t="s">
        <v>41</v>
      </c>
    </row>
    <row r="162" spans="1:2" x14ac:dyDescent="0.2">
      <c r="A162" s="8" t="s">
        <v>228</v>
      </c>
      <c r="B162" s="8" t="s">
        <v>41</v>
      </c>
    </row>
    <row r="163" spans="1:2" x14ac:dyDescent="0.2">
      <c r="A163" s="48" t="s">
        <v>229</v>
      </c>
      <c r="B163" s="48" t="s">
        <v>41</v>
      </c>
    </row>
    <row r="164" spans="1:2" x14ac:dyDescent="0.2">
      <c r="A164" s="8" t="s">
        <v>230</v>
      </c>
      <c r="B164" s="8" t="s">
        <v>41</v>
      </c>
    </row>
    <row r="165" spans="1:2" x14ac:dyDescent="0.2">
      <c r="A165" s="48" t="s">
        <v>231</v>
      </c>
      <c r="B165" s="48" t="s">
        <v>41</v>
      </c>
    </row>
    <row r="166" spans="1:2" x14ac:dyDescent="0.2">
      <c r="A166" s="8" t="s">
        <v>232</v>
      </c>
      <c r="B166" s="8" t="s">
        <v>41</v>
      </c>
    </row>
    <row r="167" spans="1:2" x14ac:dyDescent="0.2">
      <c r="A167" s="48" t="s">
        <v>233</v>
      </c>
      <c r="B167" s="48" t="s">
        <v>41</v>
      </c>
    </row>
    <row r="168" spans="1:2" x14ac:dyDescent="0.2">
      <c r="A168" s="8" t="s">
        <v>234</v>
      </c>
      <c r="B168" s="8" t="s">
        <v>41</v>
      </c>
    </row>
    <row r="169" spans="1:2" x14ac:dyDescent="0.2">
      <c r="A169" s="48" t="s">
        <v>235</v>
      </c>
      <c r="B169" s="48" t="s">
        <v>41</v>
      </c>
    </row>
    <row r="170" spans="1:2" x14ac:dyDescent="0.2">
      <c r="A170" s="8" t="s">
        <v>236</v>
      </c>
      <c r="B170" s="8" t="s">
        <v>41</v>
      </c>
    </row>
    <row r="171" spans="1:2" x14ac:dyDescent="0.2">
      <c r="A171" s="48" t="s">
        <v>237</v>
      </c>
      <c r="B171" s="48" t="s">
        <v>41</v>
      </c>
    </row>
    <row r="172" spans="1:2" x14ac:dyDescent="0.2">
      <c r="A172" s="8" t="s">
        <v>238</v>
      </c>
      <c r="B172" s="8" t="s">
        <v>41</v>
      </c>
    </row>
    <row r="173" spans="1:2" x14ac:dyDescent="0.2">
      <c r="A173" s="48" t="s">
        <v>239</v>
      </c>
      <c r="B173" s="48" t="s">
        <v>41</v>
      </c>
    </row>
    <row r="174" spans="1:2" x14ac:dyDescent="0.2">
      <c r="A174" s="8" t="s">
        <v>240</v>
      </c>
      <c r="B174" s="8" t="s">
        <v>41</v>
      </c>
    </row>
    <row r="175" spans="1:2" x14ac:dyDescent="0.2">
      <c r="A175" s="48" t="s">
        <v>241</v>
      </c>
      <c r="B175" s="48" t="s">
        <v>41</v>
      </c>
    </row>
    <row r="176" spans="1:2" x14ac:dyDescent="0.2">
      <c r="A176" s="8" t="s">
        <v>242</v>
      </c>
      <c r="B176" s="8" t="s">
        <v>41</v>
      </c>
    </row>
    <row r="177" spans="1:2" x14ac:dyDescent="0.2">
      <c r="A177" s="48" t="s">
        <v>243</v>
      </c>
      <c r="B177" s="48" t="s">
        <v>41</v>
      </c>
    </row>
    <row r="178" spans="1:2" x14ac:dyDescent="0.2">
      <c r="A178" s="8" t="s">
        <v>244</v>
      </c>
      <c r="B178" s="8" t="s">
        <v>41</v>
      </c>
    </row>
    <row r="179" spans="1:2" x14ac:dyDescent="0.2">
      <c r="A179" s="48" t="s">
        <v>245</v>
      </c>
      <c r="B179" s="48" t="s">
        <v>41</v>
      </c>
    </row>
    <row r="180" spans="1:2" x14ac:dyDescent="0.2">
      <c r="A180" s="8" t="s">
        <v>246</v>
      </c>
      <c r="B180" s="8" t="s">
        <v>41</v>
      </c>
    </row>
    <row r="181" spans="1:2" x14ac:dyDescent="0.2">
      <c r="A181" s="48" t="s">
        <v>247</v>
      </c>
      <c r="B181" s="48" t="s">
        <v>41</v>
      </c>
    </row>
    <row r="182" spans="1:2" x14ac:dyDescent="0.2">
      <c r="A182" s="8" t="s">
        <v>248</v>
      </c>
      <c r="B182" s="8" t="s">
        <v>41</v>
      </c>
    </row>
    <row r="183" spans="1:2" x14ac:dyDescent="0.2">
      <c r="A183" s="48" t="s">
        <v>249</v>
      </c>
      <c r="B183" s="48" t="s">
        <v>41</v>
      </c>
    </row>
    <row r="184" spans="1:2" x14ac:dyDescent="0.2">
      <c r="A184" s="8" t="s">
        <v>250</v>
      </c>
      <c r="B184" s="8" t="s">
        <v>41</v>
      </c>
    </row>
    <row r="185" spans="1:2" x14ac:dyDescent="0.2">
      <c r="A185" s="48" t="s">
        <v>251</v>
      </c>
      <c r="B185" s="48" t="s">
        <v>41</v>
      </c>
    </row>
    <row r="186" spans="1:2" x14ac:dyDescent="0.2">
      <c r="A186" s="8" t="s">
        <v>252</v>
      </c>
      <c r="B186" s="8" t="s">
        <v>41</v>
      </c>
    </row>
    <row r="187" spans="1:2" x14ac:dyDescent="0.2">
      <c r="A187" s="48" t="s">
        <v>253</v>
      </c>
      <c r="B187" s="48" t="s">
        <v>41</v>
      </c>
    </row>
    <row r="188" spans="1:2" x14ac:dyDescent="0.2">
      <c r="A188" s="8" t="s">
        <v>254</v>
      </c>
      <c r="B188" s="8" t="s">
        <v>41</v>
      </c>
    </row>
    <row r="189" spans="1:2" x14ac:dyDescent="0.2">
      <c r="A189" s="48" t="s">
        <v>257</v>
      </c>
      <c r="B189" s="48" t="s">
        <v>41</v>
      </c>
    </row>
    <row r="190" spans="1:2" x14ac:dyDescent="0.2">
      <c r="A190" s="8" t="s">
        <v>255</v>
      </c>
      <c r="B190" s="8" t="s">
        <v>41</v>
      </c>
    </row>
    <row r="191" spans="1:2" x14ac:dyDescent="0.2">
      <c r="A191" s="48" t="s">
        <v>118</v>
      </c>
      <c r="B191" s="48" t="s">
        <v>43</v>
      </c>
    </row>
    <row r="192" spans="1:2" x14ac:dyDescent="0.2">
      <c r="A192" s="4" t="s">
        <v>40</v>
      </c>
    </row>
  </sheetData>
  <autoFilter ref="B7:B192" xr:uid="{00000000-0009-0000-0000-000003000000}"/>
  <mergeCells count="1">
    <mergeCell ref="A1:B1"/>
  </mergeCells>
  <phoneticPr fontId="0" type="noConversion"/>
  <printOptions horizontalCentered="1"/>
  <pageMargins left="0.5" right="0.25" top="0.5" bottom="0.75" header="0.25" footer="0.25"/>
  <pageSetup paperSize="9" orientation="portrait"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FunctionalityList">
                <anchor>
                  <from>
                    <xdr:col>1</xdr:col>
                    <xdr:colOff>3705225</xdr:colOff>
                    <xdr:row>6</xdr:row>
                    <xdr:rowOff>257175</xdr:rowOff>
                  </from>
                  <to>
                    <xdr:col>3</xdr:col>
                    <xdr:colOff>581025</xdr:colOff>
                    <xdr:row>6</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0]!updateFunctionalityList">
                <anchor>
                  <from>
                    <xdr:col>1</xdr:col>
                    <xdr:colOff>3705225</xdr:colOff>
                    <xdr:row>5</xdr:row>
                    <xdr:rowOff>552450</xdr:rowOff>
                  </from>
                  <to>
                    <xdr:col>3</xdr:col>
                    <xdr:colOff>571500</xdr:colOff>
                    <xdr:row>6</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fitToPage="1"/>
  </sheetPr>
  <dimension ref="A1:N24"/>
  <sheetViews>
    <sheetView showGridLines="0" workbookViewId="0">
      <selection activeCell="D4" sqref="D4:F4"/>
    </sheetView>
  </sheetViews>
  <sheetFormatPr defaultColWidth="15.140625" defaultRowHeight="12.75" x14ac:dyDescent="0.2"/>
  <cols>
    <col min="1" max="1" width="33.5703125" style="8" customWidth="1"/>
    <col min="2" max="2" width="28.5703125" style="8" customWidth="1"/>
    <col min="3" max="6" width="28.28515625" style="8" customWidth="1"/>
    <col min="7" max="11" width="28.28515625" style="91" customWidth="1"/>
    <col min="12" max="16384" width="15.140625" style="8"/>
  </cols>
  <sheetData>
    <row r="1" spans="1:14" x14ac:dyDescent="0.2">
      <c r="A1" s="125" t="s">
        <v>62</v>
      </c>
      <c r="B1" s="126"/>
      <c r="C1" s="126"/>
      <c r="D1" s="126"/>
      <c r="E1" s="126"/>
      <c r="F1" s="127"/>
      <c r="G1" s="86"/>
      <c r="H1" s="86"/>
      <c r="I1" s="86"/>
      <c r="J1" s="86"/>
      <c r="K1" s="86"/>
      <c r="L1" s="80"/>
      <c r="M1" s="80"/>
      <c r="N1" s="80"/>
    </row>
    <row r="2" spans="1:14" x14ac:dyDescent="0.2">
      <c r="A2" s="16"/>
      <c r="B2" s="128" t="s">
        <v>9</v>
      </c>
      <c r="C2" s="129"/>
      <c r="D2" s="129"/>
      <c r="E2" s="129"/>
      <c r="F2" s="130"/>
      <c r="G2" s="87"/>
      <c r="H2" s="87"/>
      <c r="I2" s="87"/>
      <c r="J2" s="87"/>
      <c r="K2" s="87"/>
      <c r="L2" s="81"/>
      <c r="M2" s="81"/>
      <c r="N2" s="81"/>
    </row>
    <row r="3" spans="1:14" x14ac:dyDescent="0.2">
      <c r="A3" s="18"/>
      <c r="B3" s="131" t="str">
        <f>Doc_Reference</f>
        <v>SDMR-SW-363.xls</v>
      </c>
      <c r="C3" s="132"/>
      <c r="D3" s="132"/>
      <c r="E3" s="132"/>
      <c r="F3" s="133"/>
      <c r="G3" s="88"/>
      <c r="H3" s="88"/>
      <c r="I3" s="88"/>
      <c r="J3" s="88"/>
      <c r="K3" s="88"/>
      <c r="L3" s="82"/>
      <c r="M3" s="82"/>
      <c r="N3" s="82"/>
    </row>
    <row r="4" spans="1:14" x14ac:dyDescent="0.2">
      <c r="A4" s="18"/>
      <c r="B4" s="112" t="s">
        <v>10</v>
      </c>
      <c r="C4" s="112"/>
      <c r="D4" s="128" t="s">
        <v>262</v>
      </c>
      <c r="E4" s="129"/>
      <c r="F4" s="130"/>
      <c r="G4" s="87"/>
      <c r="H4" s="87"/>
      <c r="I4" s="87"/>
      <c r="J4" s="87"/>
      <c r="K4" s="87"/>
      <c r="L4" s="81"/>
      <c r="M4" s="81"/>
      <c r="N4" s="81"/>
    </row>
    <row r="5" spans="1:14" x14ac:dyDescent="0.2">
      <c r="A5" s="18"/>
      <c r="B5" s="113" t="str">
        <f>Approval_Resp</f>
        <v>Process CCB</v>
      </c>
      <c r="C5" s="113"/>
      <c r="D5" s="131" t="str">
        <f>Project_Name</f>
        <v>SSE Process</v>
      </c>
      <c r="E5" s="132"/>
      <c r="F5" s="133"/>
      <c r="G5" s="88"/>
      <c r="H5" s="88"/>
      <c r="I5" s="88"/>
      <c r="J5" s="88"/>
      <c r="K5" s="88"/>
      <c r="L5" s="82"/>
      <c r="M5" s="82"/>
      <c r="N5" s="82"/>
    </row>
    <row r="6" spans="1:14" ht="35.25" customHeight="1" thickBot="1" x14ac:dyDescent="0.25">
      <c r="A6" s="22" t="s">
        <v>50</v>
      </c>
      <c r="B6" s="122" t="str">
        <f>Doc_Title</f>
        <v>TITLE: Software Delivery Memory Report Template</v>
      </c>
      <c r="C6" s="123"/>
      <c r="D6" s="123"/>
      <c r="E6" s="123"/>
      <c r="F6" s="124"/>
      <c r="G6" s="71"/>
      <c r="H6" s="71"/>
      <c r="I6" s="71"/>
      <c r="J6" s="71"/>
      <c r="K6" s="71"/>
      <c r="L6" s="83"/>
      <c r="M6" s="83"/>
      <c r="N6" s="83"/>
    </row>
    <row r="7" spans="1:14" s="7" customFormat="1" ht="18" x14ac:dyDescent="0.25">
      <c r="A7" s="56" t="s">
        <v>6</v>
      </c>
      <c r="B7" s="51" t="s">
        <v>119</v>
      </c>
      <c r="C7" s="79" t="s">
        <v>120</v>
      </c>
      <c r="D7" s="51" t="s">
        <v>121</v>
      </c>
      <c r="E7" s="56" t="s">
        <v>2</v>
      </c>
      <c r="F7" s="56" t="s">
        <v>3</v>
      </c>
      <c r="G7" s="90"/>
      <c r="H7" s="90"/>
      <c r="I7" s="90"/>
      <c r="J7" s="90"/>
      <c r="K7" s="90"/>
    </row>
    <row r="8" spans="1:14" x14ac:dyDescent="0.2">
      <c r="A8" s="8" t="s">
        <v>41</v>
      </c>
      <c r="B8" s="8">
        <v>94176</v>
      </c>
      <c r="C8" s="8">
        <v>941841</v>
      </c>
      <c r="K8" s="92"/>
      <c r="L8" s="84"/>
      <c r="M8" s="4"/>
      <c r="N8" s="84"/>
    </row>
    <row r="9" spans="1:14" x14ac:dyDescent="0.2">
      <c r="A9" s="48" t="s">
        <v>42</v>
      </c>
      <c r="B9" s="48">
        <v>147501</v>
      </c>
      <c r="C9" s="48">
        <v>201108</v>
      </c>
      <c r="D9" s="48"/>
      <c r="E9" s="48"/>
      <c r="F9" s="48"/>
      <c r="K9" s="92"/>
      <c r="L9" s="84"/>
      <c r="M9" s="89"/>
      <c r="N9" s="84"/>
    </row>
    <row r="10" spans="1:14" x14ac:dyDescent="0.2">
      <c r="A10" s="8" t="s">
        <v>43</v>
      </c>
      <c r="B10" s="8">
        <v>0</v>
      </c>
      <c r="C10" s="8">
        <v>121072</v>
      </c>
      <c r="K10" s="92"/>
      <c r="L10" s="84"/>
      <c r="M10" s="4"/>
      <c r="N10" s="84"/>
    </row>
    <row r="11" spans="1:14" x14ac:dyDescent="0.2">
      <c r="A11" s="48" t="s">
        <v>40</v>
      </c>
      <c r="B11" s="48">
        <f>SUM(B8:B10)</f>
        <v>241677</v>
      </c>
      <c r="C11" s="48">
        <f>SUM(C8:C10)</f>
        <v>1264021</v>
      </c>
      <c r="D11" s="48"/>
      <c r="E11" s="48"/>
      <c r="F11" s="48"/>
      <c r="M11" s="48"/>
    </row>
    <row r="12" spans="1:14" x14ac:dyDescent="0.2">
      <c r="A12" s="8" t="s">
        <v>44</v>
      </c>
      <c r="B12" s="8">
        <f>256*1024</f>
        <v>262144</v>
      </c>
      <c r="C12" s="8">
        <f>2048*1024</f>
        <v>2097152</v>
      </c>
      <c r="D12" s="8">
        <f>64*1024</f>
        <v>65536</v>
      </c>
    </row>
    <row r="13" spans="1:14" x14ac:dyDescent="0.2">
      <c r="A13" s="48" t="s">
        <v>45</v>
      </c>
      <c r="B13" s="48">
        <f>B12-B11</f>
        <v>20467</v>
      </c>
      <c r="C13" s="48">
        <f>C12-C11</f>
        <v>833131</v>
      </c>
      <c r="D13" s="48">
        <f>D12-D11</f>
        <v>65536</v>
      </c>
      <c r="E13" s="48"/>
      <c r="F13" s="48"/>
      <c r="K13" s="92"/>
      <c r="L13" s="85"/>
      <c r="M13" s="89"/>
      <c r="N13" s="85"/>
    </row>
    <row r="19" spans="11:14" x14ac:dyDescent="0.2">
      <c r="K19" s="92" t="s">
        <v>259</v>
      </c>
      <c r="L19" s="84">
        <f>B8/B12</f>
        <v>0.3592529296875</v>
      </c>
      <c r="M19" s="92" t="s">
        <v>259</v>
      </c>
      <c r="N19" s="84">
        <f>C8/C12</f>
        <v>0.44910478591918945</v>
      </c>
    </row>
    <row r="20" spans="11:14" x14ac:dyDescent="0.2">
      <c r="K20" s="92" t="s">
        <v>258</v>
      </c>
      <c r="L20" s="84">
        <f>B9/B12</f>
        <v>0.56267166137695313</v>
      </c>
      <c r="M20" s="92" t="s">
        <v>258</v>
      </c>
      <c r="N20" s="84">
        <f>C9/C12</f>
        <v>9.5895767211914063E-2</v>
      </c>
    </row>
    <row r="21" spans="11:14" x14ac:dyDescent="0.2">
      <c r="K21" s="92" t="s">
        <v>260</v>
      </c>
      <c r="L21" s="84">
        <v>0</v>
      </c>
      <c r="M21" s="92" t="s">
        <v>260</v>
      </c>
      <c r="N21" s="84">
        <f>C10/C12</f>
        <v>5.773162841796875E-2</v>
      </c>
    </row>
    <row r="22" spans="11:14" x14ac:dyDescent="0.2">
      <c r="K22" s="92" t="s">
        <v>261</v>
      </c>
      <c r="L22" s="84">
        <f>(B13/B12)</f>
        <v>7.8075408935546875E-2</v>
      </c>
      <c r="M22" s="92" t="s">
        <v>261</v>
      </c>
      <c r="N22" s="84">
        <f>C13/C12</f>
        <v>0.39726781845092773</v>
      </c>
    </row>
    <row r="23" spans="11:14" x14ac:dyDescent="0.2">
      <c r="L23" s="85"/>
      <c r="M23" s="92"/>
      <c r="N23" s="84"/>
    </row>
    <row r="24" spans="11:14" x14ac:dyDescent="0.2">
      <c r="M24" s="91"/>
      <c r="N24" s="85"/>
    </row>
  </sheetData>
  <mergeCells count="8">
    <mergeCell ref="B6:F6"/>
    <mergeCell ref="B5:C5"/>
    <mergeCell ref="B4:C4"/>
    <mergeCell ref="A1:F1"/>
    <mergeCell ref="B2:F2"/>
    <mergeCell ref="B3:F3"/>
    <mergeCell ref="D4:F4"/>
    <mergeCell ref="D5:F5"/>
  </mergeCells>
  <phoneticPr fontId="0" type="noConversion"/>
  <printOptions horizontalCentered="1"/>
  <pageMargins left="0.5" right="0.25" top="0.5" bottom="0.5" header="0" footer="0"/>
  <pageSetup paperSize="9" scale="94" orientation="landscape" horizontalDpi="300" verticalDpi="300" r:id="rId1"/>
  <headerFooter alignWithMargins="0">
    <oddFooter>&amp;L&amp;BLear Corporation Confidencial&amp;B&amp;C&amp;A&amp;RPágina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15</vt:i4>
      </vt:variant>
    </vt:vector>
  </HeadingPairs>
  <TitlesOfParts>
    <vt:vector size="20" baseType="lpstr">
      <vt:lpstr>Cover</vt:lpstr>
      <vt:lpstr>Table of Contents</vt:lpstr>
      <vt:lpstr>Data</vt:lpstr>
      <vt:lpstr>Relation modules-functionality</vt:lpstr>
      <vt:lpstr>Functionality memory totals</vt:lpstr>
      <vt:lpstr>'Functionality memory totals'!_16kBytes_FixedFlash1</vt:lpstr>
      <vt:lpstr>'Functionality memory totals'!_6x16k_PagedFlash</vt:lpstr>
      <vt:lpstr>'Functionality memory totals'!_8kBytes_RAM</vt:lpstr>
      <vt:lpstr>Approval_Resp</vt:lpstr>
      <vt:lpstr>Doc_Reference</vt:lpstr>
      <vt:lpstr>Doc_Title</vt:lpstr>
      <vt:lpstr>Cover!Print_Area</vt:lpstr>
      <vt:lpstr>Data!Print_Area</vt:lpstr>
      <vt:lpstr>'Functionality memory totals'!Print_Area</vt:lpstr>
      <vt:lpstr>'Relation modules-functionality'!Print_Area</vt:lpstr>
      <vt:lpstr>'Table of Contents'!Print_Area</vt:lpstr>
      <vt:lpstr>Data!Print_Titles</vt:lpstr>
      <vt:lpstr>Project_Name</vt:lpstr>
      <vt:lpstr>'Functionality memory totals'!RAMtotal</vt:lpstr>
      <vt:lpstr>'Functionality memory totals'!ROMtotal</vt:lpstr>
    </vt:vector>
  </TitlesOfParts>
  <Company>Lear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Peacock, Charles</cp:lastModifiedBy>
  <cp:lastPrinted>2003-12-17T09:12:56Z</cp:lastPrinted>
  <dcterms:created xsi:type="dcterms:W3CDTF">1996-11-27T10:00:04Z</dcterms:created>
  <dcterms:modified xsi:type="dcterms:W3CDTF">2021-07-19T20:22:07Z</dcterms:modified>
</cp:coreProperties>
</file>